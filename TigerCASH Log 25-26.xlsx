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mail2-my.sharepoint.com/personal/cfree3_lsu_edu/Documents/Lab/Admin/Templates/"/>
    </mc:Choice>
  </mc:AlternateContent>
  <xr:revisionPtr revIDLastSave="4396" documentId="8_{AFFF7CD1-D1F7-4E6E-A4A0-2A4773B5E435}" xr6:coauthVersionLast="47" xr6:coauthVersionMax="47" xr10:uidLastSave="{163381CD-1133-4881-A3B7-CFE39CAF9219}"/>
  <bookViews>
    <workbookView xWindow="-120" yWindow="-120" windowWidth="51840" windowHeight="21120" firstSheet="7" activeTab="7" xr2:uid="{00000000-000D-0000-FFFF-FFFF00000000}"/>
  </bookViews>
  <sheets>
    <sheet name="August" sheetId="31" r:id="rId1"/>
    <sheet name="September" sheetId="30" r:id="rId2"/>
    <sheet name="October" sheetId="36" r:id="rId3"/>
    <sheet name="November" sheetId="37" r:id="rId4"/>
    <sheet name="December" sheetId="38" r:id="rId5"/>
    <sheet name="January" sheetId="39" r:id="rId6"/>
    <sheet name="February" sheetId="35" r:id="rId7"/>
    <sheet name="March" sheetId="40" r:id="rId8"/>
    <sheet name="April" sheetId="42" r:id="rId9"/>
    <sheet name="May" sheetId="41" r:id="rId10"/>
    <sheet name="June" sheetId="44" r:id="rId11"/>
    <sheet name="Sheet1" sheetId="45" r:id="rId12"/>
    <sheet name="July" sheetId="43" r:id="rId13"/>
    <sheet name="Template" sheetId="29" r:id="rId14"/>
    <sheet name="Pricing Table" sheetId="8" r:id="rId15"/>
  </sheets>
  <definedNames>
    <definedName name="MachineList" localSheetId="8">PriceTable[Machine]</definedName>
    <definedName name="MachineList" localSheetId="0">PriceTable[Machine]</definedName>
    <definedName name="MachineList" localSheetId="4">PriceTable[Machine]</definedName>
    <definedName name="MachineList" localSheetId="6">PriceTable[Machine]</definedName>
    <definedName name="MachineList" localSheetId="5">PriceTable[Machine]</definedName>
    <definedName name="MachineList" localSheetId="12">PriceTable[Machine]</definedName>
    <definedName name="MachineList" localSheetId="10">PriceTable[Machine]</definedName>
    <definedName name="MachineList" localSheetId="7">PriceTable[Machine]</definedName>
    <definedName name="MachineList" localSheetId="9">PriceTable[Machine]</definedName>
    <definedName name="MachineList" localSheetId="3">PriceTable[Machine]</definedName>
    <definedName name="MachineList" localSheetId="2">PriceTable[Machine]</definedName>
    <definedName name="MachineList" localSheetId="1">PriceTable[Machine]</definedName>
    <definedName name="MachineList" comment="List of machines names in the &quot;Select Machine&quot; dropdown menu. Add new machines here and they will appear with the right price. ">PriceTable[Machine]</definedName>
    <definedName name="Staff" localSheetId="8">Workers[Staff]</definedName>
    <definedName name="Staff" localSheetId="0">Workers[Staff]</definedName>
    <definedName name="Staff" localSheetId="4">Workers[Staff]</definedName>
    <definedName name="Staff" localSheetId="6">Workers[Staff]</definedName>
    <definedName name="Staff" localSheetId="5">Workers[Staff]</definedName>
    <definedName name="Staff" localSheetId="12">Workers[Staff]</definedName>
    <definedName name="Staff" localSheetId="10">Workers[Staff]</definedName>
    <definedName name="Staff" localSheetId="7">Workers[Staff]</definedName>
    <definedName name="Staff" localSheetId="9">Workers[Staff]</definedName>
    <definedName name="Staff" localSheetId="3">Workers[Staff]</definedName>
    <definedName name="Staff" localSheetId="2">Workers[Staff]</definedName>
    <definedName name="Staff" localSheetId="1">Workers[Staff]</definedName>
    <definedName name="Staff" comment="Simple list of employees for the dropdown menu under &quot;Processed By&quot;">Workers[Staff]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40" l="1"/>
  <c r="D54" i="40"/>
  <c r="B55" i="40"/>
  <c r="D55" i="40"/>
  <c r="B56" i="40"/>
  <c r="D56" i="40"/>
  <c r="B57" i="40"/>
  <c r="D57" i="40"/>
  <c r="B58" i="40"/>
  <c r="D58" i="40"/>
  <c r="B59" i="40"/>
  <c r="D59" i="40"/>
  <c r="B60" i="40"/>
  <c r="D60" i="40"/>
  <c r="B61" i="40"/>
  <c r="D61" i="40"/>
  <c r="B62" i="40"/>
  <c r="D62" i="40"/>
  <c r="B63" i="40"/>
  <c r="D63" i="40"/>
  <c r="B64" i="40"/>
  <c r="D64" i="40"/>
  <c r="B65" i="40"/>
  <c r="D65" i="40"/>
  <c r="B66" i="40"/>
  <c r="D66" i="40"/>
  <c r="B67" i="40"/>
  <c r="D67" i="40"/>
  <c r="B68" i="40"/>
  <c r="D68" i="40"/>
  <c r="B69" i="40"/>
  <c r="D69" i="40"/>
  <c r="B70" i="40"/>
  <c r="D70" i="40"/>
  <c r="B71" i="40"/>
  <c r="D71" i="40"/>
  <c r="B72" i="40"/>
  <c r="D72" i="40"/>
  <c r="B73" i="40"/>
  <c r="D73" i="40"/>
  <c r="B74" i="40"/>
  <c r="D74" i="40"/>
  <c r="B75" i="40"/>
  <c r="D75" i="40"/>
  <c r="B76" i="40"/>
  <c r="D76" i="40"/>
  <c r="B77" i="40"/>
  <c r="D77" i="40"/>
  <c r="B78" i="40"/>
  <c r="D78" i="40"/>
  <c r="B79" i="40"/>
  <c r="D79" i="40"/>
  <c r="B80" i="40"/>
  <c r="D80" i="40"/>
  <c r="B81" i="40"/>
  <c r="D81" i="40"/>
  <c r="B82" i="40"/>
  <c r="D82" i="40"/>
  <c r="B83" i="40"/>
  <c r="D83" i="40"/>
  <c r="B84" i="40"/>
  <c r="D84" i="40"/>
  <c r="B85" i="40"/>
  <c r="D85" i="40"/>
  <c r="B86" i="40"/>
  <c r="D86" i="40"/>
  <c r="B53" i="40"/>
  <c r="D53" i="40"/>
  <c r="B52" i="40"/>
  <c r="D52" i="40"/>
  <c r="B51" i="40"/>
  <c r="D51" i="40"/>
  <c r="D57" i="35"/>
  <c r="D58" i="35"/>
  <c r="D59" i="35"/>
  <c r="D60" i="35"/>
  <c r="B60" i="35"/>
  <c r="B59" i="35"/>
  <c r="B58" i="35"/>
  <c r="B57" i="35"/>
  <c r="B56" i="35"/>
  <c r="D56" i="35" s="1"/>
  <c r="B55" i="35"/>
  <c r="D55" i="35" s="1"/>
  <c r="B54" i="35"/>
  <c r="D54" i="35" s="1"/>
  <c r="B53" i="35"/>
  <c r="D53" i="35" s="1"/>
  <c r="B52" i="35"/>
  <c r="D52" i="35" s="1"/>
  <c r="B51" i="35"/>
  <c r="D51" i="35" s="1"/>
  <c r="B50" i="35"/>
  <c r="D50" i="35" s="1"/>
  <c r="B3" i="35"/>
  <c r="D3" i="35" s="1"/>
  <c r="B4" i="35"/>
  <c r="D4" i="35" s="1"/>
  <c r="B5" i="35"/>
  <c r="B6" i="35"/>
  <c r="D6" i="35" s="1"/>
  <c r="B7" i="35"/>
  <c r="D7" i="35" s="1"/>
  <c r="B8" i="35"/>
  <c r="D8" i="35" s="1"/>
  <c r="B9" i="35"/>
  <c r="D9" i="35" s="1"/>
  <c r="B10" i="35"/>
  <c r="D10" i="35" s="1"/>
  <c r="B11" i="35"/>
  <c r="B12" i="35"/>
  <c r="B13" i="35"/>
  <c r="B14" i="35"/>
  <c r="B15" i="35"/>
  <c r="B16" i="35"/>
  <c r="D16" i="35" s="1"/>
  <c r="B17" i="35"/>
  <c r="B18" i="35"/>
  <c r="B19" i="35"/>
  <c r="B20" i="35"/>
  <c r="B21" i="35"/>
  <c r="D21" i="35" s="1"/>
  <c r="B22" i="35"/>
  <c r="D22" i="35" s="1"/>
  <c r="B23" i="35"/>
  <c r="D23" i="35" s="1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D43" i="35" s="1"/>
  <c r="B44" i="35"/>
  <c r="D44" i="35" s="1"/>
  <c r="B45" i="35"/>
  <c r="D45" i="35" s="1"/>
  <c r="B46" i="35"/>
  <c r="D46" i="35" s="1"/>
  <c r="B47" i="35"/>
  <c r="D47" i="35" s="1"/>
  <c r="B48" i="35"/>
  <c r="D48" i="35" s="1"/>
  <c r="B49" i="35"/>
  <c r="D49" i="35" s="1"/>
  <c r="D12" i="35"/>
  <c r="D13" i="35"/>
  <c r="D14" i="35"/>
  <c r="D15" i="35"/>
  <c r="D17" i="35"/>
  <c r="D18" i="35"/>
  <c r="D19" i="35"/>
  <c r="D20" i="35"/>
  <c r="D24" i="35"/>
  <c r="D25" i="35"/>
  <c r="D26" i="35"/>
  <c r="D27" i="35"/>
  <c r="D28" i="35"/>
  <c r="D29" i="35"/>
  <c r="D30" i="35"/>
  <c r="D31" i="35"/>
  <c r="D32" i="35"/>
  <c r="D33" i="35"/>
  <c r="D34" i="35"/>
  <c r="D36" i="35"/>
  <c r="D37" i="35"/>
  <c r="D38" i="35"/>
  <c r="D39" i="35"/>
  <c r="D40" i="35"/>
  <c r="D41" i="35"/>
  <c r="D42" i="35"/>
  <c r="D11" i="35"/>
  <c r="B13" i="39"/>
  <c r="D13" i="39"/>
  <c r="B14" i="39"/>
  <c r="D14" i="39"/>
  <c r="B15" i="39"/>
  <c r="D15" i="39"/>
  <c r="B16" i="39"/>
  <c r="D16" i="39"/>
  <c r="B17" i="39"/>
  <c r="D17" i="39"/>
  <c r="B18" i="39"/>
  <c r="D18" i="39"/>
  <c r="B19" i="39"/>
  <c r="D19" i="39"/>
  <c r="B20" i="39"/>
  <c r="D20" i="39"/>
  <c r="B7" i="39"/>
  <c r="B6" i="39"/>
  <c r="C29" i="38"/>
  <c r="B7" i="38"/>
  <c r="D7" i="38" s="1"/>
  <c r="B37" i="37"/>
  <c r="D37" i="37" s="1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B46" i="38"/>
  <c r="D46" i="38"/>
  <c r="B47" i="38"/>
  <c r="D47" i="38"/>
  <c r="B48" i="38"/>
  <c r="D48" i="38"/>
  <c r="B49" i="38"/>
  <c r="D49" i="38"/>
  <c r="B50" i="38"/>
  <c r="D50" i="38"/>
  <c r="B51" i="38"/>
  <c r="D51" i="38"/>
  <c r="B52" i="38"/>
  <c r="D52" i="38"/>
  <c r="B53" i="38"/>
  <c r="D53" i="38"/>
  <c r="B54" i="38"/>
  <c r="D54" i="38"/>
  <c r="B55" i="38"/>
  <c r="D55" i="38"/>
  <c r="B56" i="38"/>
  <c r="D56" i="38"/>
  <c r="B57" i="38"/>
  <c r="D57" i="38"/>
  <c r="B58" i="38"/>
  <c r="D58" i="38"/>
  <c r="B59" i="38"/>
  <c r="D59" i="38"/>
  <c r="B60" i="38"/>
  <c r="D60" i="38"/>
  <c r="B61" i="38"/>
  <c r="D61" i="38"/>
  <c r="B62" i="38"/>
  <c r="B63" i="38"/>
  <c r="B64" i="38"/>
  <c r="D64" i="38"/>
  <c r="B65" i="38"/>
  <c r="D65" i="38"/>
  <c r="B66" i="38"/>
  <c r="D66" i="38"/>
  <c r="B67" i="38"/>
  <c r="D67" i="38"/>
  <c r="B68" i="38"/>
  <c r="D68" i="38"/>
  <c r="B69" i="38"/>
  <c r="D69" i="38"/>
  <c r="B70" i="38"/>
  <c r="D70" i="38"/>
  <c r="B36" i="37"/>
  <c r="D36" i="37" s="1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1" i="29"/>
  <c r="D51" i="29"/>
  <c r="B52" i="29"/>
  <c r="D52" i="29"/>
  <c r="B53" i="29"/>
  <c r="D53" i="29"/>
  <c r="B54" i="29"/>
  <c r="D54" i="29"/>
  <c r="B55" i="29"/>
  <c r="D55" i="29"/>
  <c r="B56" i="29"/>
  <c r="D56" i="29"/>
  <c r="B57" i="29"/>
  <c r="D57" i="29"/>
  <c r="B58" i="29"/>
  <c r="D58" i="29"/>
  <c r="B59" i="29"/>
  <c r="D59" i="29"/>
  <c r="B60" i="29"/>
  <c r="D60" i="29"/>
  <c r="B61" i="29"/>
  <c r="D61" i="29"/>
  <c r="B62" i="29"/>
  <c r="D62" i="29"/>
  <c r="B63" i="29"/>
  <c r="D63" i="29"/>
  <c r="B64" i="29"/>
  <c r="D64" i="29"/>
  <c r="B65" i="29"/>
  <c r="D65" i="29"/>
  <c r="B66" i="29"/>
  <c r="D66" i="29"/>
  <c r="B67" i="29"/>
  <c r="D67" i="29"/>
  <c r="B68" i="29"/>
  <c r="D68" i="29"/>
  <c r="B69" i="29"/>
  <c r="D69" i="29"/>
  <c r="B70" i="29"/>
  <c r="D70" i="29"/>
  <c r="B71" i="29"/>
  <c r="D71" i="29"/>
  <c r="B72" i="29"/>
  <c r="D72" i="29"/>
  <c r="B73" i="29"/>
  <c r="D73" i="29"/>
  <c r="B74" i="29"/>
  <c r="D74" i="29"/>
  <c r="B75" i="29"/>
  <c r="D75" i="29"/>
  <c r="B76" i="29"/>
  <c r="D76" i="29"/>
  <c r="B77" i="29"/>
  <c r="D77" i="29"/>
  <c r="B78" i="29"/>
  <c r="D78" i="29"/>
  <c r="B79" i="29"/>
  <c r="D79" i="29"/>
  <c r="B80" i="29"/>
  <c r="D80" i="29"/>
  <c r="B81" i="29"/>
  <c r="D81" i="29"/>
  <c r="B82" i="29"/>
  <c r="D82" i="29"/>
  <c r="B83" i="29"/>
  <c r="D83" i="29"/>
  <c r="B84" i="29"/>
  <c r="D84" i="29"/>
  <c r="B85" i="29"/>
  <c r="D85" i="29"/>
  <c r="B86" i="29"/>
  <c r="D86" i="29"/>
  <c r="B87" i="29"/>
  <c r="D87" i="29"/>
  <c r="B88" i="29"/>
  <c r="D88" i="29"/>
  <c r="B89" i="29"/>
  <c r="D89" i="29"/>
  <c r="B90" i="29"/>
  <c r="D90" i="29"/>
  <c r="B91" i="29"/>
  <c r="D91" i="29"/>
  <c r="B92" i="29"/>
  <c r="D92" i="29"/>
  <c r="B93" i="29"/>
  <c r="D93" i="29"/>
  <c r="B94" i="29"/>
  <c r="D94" i="29"/>
  <c r="B95" i="29"/>
  <c r="D95" i="29"/>
  <c r="B96" i="29"/>
  <c r="D96" i="29"/>
  <c r="B97" i="29"/>
  <c r="D97" i="29"/>
  <c r="B98" i="29"/>
  <c r="D98" i="29"/>
  <c r="B99" i="29"/>
  <c r="D99" i="29"/>
  <c r="B100" i="29"/>
  <c r="D100" i="29"/>
  <c r="C51" i="36"/>
  <c r="B51" i="36"/>
  <c r="I51" i="36"/>
  <c r="B3" i="36"/>
  <c r="D3" i="36"/>
  <c r="I3" i="36"/>
  <c r="B4" i="36"/>
  <c r="D4" i="36" s="1"/>
  <c r="I4" i="36"/>
  <c r="B5" i="36"/>
  <c r="I5" i="36"/>
  <c r="B6" i="36"/>
  <c r="D6" i="36" s="1"/>
  <c r="I6" i="36"/>
  <c r="B7" i="36"/>
  <c r="D7" i="36" s="1"/>
  <c r="I7" i="36"/>
  <c r="B8" i="36"/>
  <c r="I8" i="36"/>
  <c r="B9" i="36"/>
  <c r="D9" i="36" s="1"/>
  <c r="I9" i="36"/>
  <c r="B10" i="36"/>
  <c r="D10" i="36" s="1"/>
  <c r="I10" i="36"/>
  <c r="B11" i="36"/>
  <c r="D11" i="36" s="1"/>
  <c r="I11" i="36"/>
  <c r="B12" i="36"/>
  <c r="I12" i="36"/>
  <c r="B13" i="36"/>
  <c r="I13" i="36"/>
  <c r="B14" i="36"/>
  <c r="D14" i="36" s="1"/>
  <c r="I14" i="36"/>
  <c r="B15" i="36"/>
  <c r="I15" i="36"/>
  <c r="B16" i="36"/>
  <c r="I16" i="36"/>
  <c r="B17" i="36"/>
  <c r="D17" i="36" s="1"/>
  <c r="I17" i="36"/>
  <c r="B18" i="36"/>
  <c r="D18" i="36" s="1"/>
  <c r="I18" i="36"/>
  <c r="B19" i="36"/>
  <c r="D19" i="36" s="1"/>
  <c r="B20" i="36"/>
  <c r="D20" i="36" s="1"/>
  <c r="B21" i="36"/>
  <c r="D21" i="36" s="1"/>
  <c r="B22" i="36"/>
  <c r="D22" i="36" s="1"/>
  <c r="B23" i="36"/>
  <c r="D23" i="36" s="1"/>
  <c r="B24" i="36"/>
  <c r="D24" i="36" s="1"/>
  <c r="B25" i="36"/>
  <c r="B26" i="36"/>
  <c r="D26" i="36" s="1"/>
  <c r="B27" i="36"/>
  <c r="D27" i="36" s="1"/>
  <c r="B28" i="36"/>
  <c r="D28" i="36" s="1"/>
  <c r="B29" i="36"/>
  <c r="D29" i="36" s="1"/>
  <c r="B30" i="36"/>
  <c r="D30" i="36" s="1"/>
  <c r="B31" i="36"/>
  <c r="D31" i="36" s="1"/>
  <c r="B32" i="36"/>
  <c r="B33" i="36"/>
  <c r="D33" i="36" s="1"/>
  <c r="B34" i="36"/>
  <c r="D34" i="36" s="1"/>
  <c r="B35" i="36"/>
  <c r="D35" i="36" s="1"/>
  <c r="B36" i="36"/>
  <c r="D36" i="36" s="1"/>
  <c r="B37" i="36"/>
  <c r="D37" i="36" s="1"/>
  <c r="B38" i="36"/>
  <c r="D38" i="36" s="1"/>
  <c r="B39" i="36"/>
  <c r="D39" i="36" s="1"/>
  <c r="B40" i="36"/>
  <c r="B41" i="36"/>
  <c r="D41" i="36" s="1"/>
  <c r="B42" i="36"/>
  <c r="D42" i="36" s="1"/>
  <c r="B43" i="36"/>
  <c r="D43" i="36" s="1"/>
  <c r="B44" i="36"/>
  <c r="D44" i="36" s="1"/>
  <c r="B45" i="36"/>
  <c r="D45" i="36" s="1"/>
  <c r="B46" i="36"/>
  <c r="D46" i="36" s="1"/>
  <c r="B47" i="36"/>
  <c r="D47" i="36" s="1"/>
  <c r="B48" i="36"/>
  <c r="D48" i="36" s="1"/>
  <c r="B49" i="36"/>
  <c r="D49" i="36" s="1"/>
  <c r="B50" i="36"/>
  <c r="B7" i="30"/>
  <c r="D7" i="30"/>
  <c r="B3" i="30"/>
  <c r="D3" i="30"/>
  <c r="D82" i="44"/>
  <c r="B82" i="44"/>
  <c r="D81" i="44"/>
  <c r="B81" i="44"/>
  <c r="D80" i="44"/>
  <c r="B80" i="44"/>
  <c r="D79" i="44"/>
  <c r="B79" i="44"/>
  <c r="D78" i="44"/>
  <c r="B78" i="44"/>
  <c r="D77" i="44"/>
  <c r="B77" i="44"/>
  <c r="D76" i="44"/>
  <c r="B76" i="44"/>
  <c r="D75" i="44"/>
  <c r="B75" i="44"/>
  <c r="D74" i="44"/>
  <c r="B74" i="44"/>
  <c r="D73" i="44"/>
  <c r="B73" i="44"/>
  <c r="D72" i="44"/>
  <c r="B72" i="44"/>
  <c r="D71" i="44"/>
  <c r="B71" i="44"/>
  <c r="D70" i="44"/>
  <c r="B70" i="44"/>
  <c r="D69" i="44"/>
  <c r="B69" i="44"/>
  <c r="D68" i="44"/>
  <c r="B68" i="44"/>
  <c r="D67" i="44"/>
  <c r="B67" i="44"/>
  <c r="D66" i="44"/>
  <c r="B66" i="44"/>
  <c r="D65" i="44"/>
  <c r="B65" i="44"/>
  <c r="D64" i="44"/>
  <c r="B64" i="44"/>
  <c r="D63" i="44"/>
  <c r="B63" i="44"/>
  <c r="D62" i="44"/>
  <c r="B62" i="44"/>
  <c r="D61" i="44"/>
  <c r="B61" i="44"/>
  <c r="D60" i="44"/>
  <c r="K83" i="44" s="1"/>
  <c r="B60" i="44"/>
  <c r="D50" i="44"/>
  <c r="B50" i="44"/>
  <c r="D49" i="44"/>
  <c r="B49" i="44"/>
  <c r="D48" i="44"/>
  <c r="B48" i="44"/>
  <c r="D47" i="44"/>
  <c r="B47" i="44"/>
  <c r="D46" i="44"/>
  <c r="B46" i="44"/>
  <c r="D45" i="44"/>
  <c r="B45" i="44"/>
  <c r="D44" i="44"/>
  <c r="B44" i="44"/>
  <c r="D43" i="44"/>
  <c r="B43" i="44"/>
  <c r="D42" i="44"/>
  <c r="B42" i="44"/>
  <c r="D41" i="44"/>
  <c r="B41" i="44"/>
  <c r="D40" i="44"/>
  <c r="B40" i="44"/>
  <c r="D39" i="44"/>
  <c r="B39" i="44"/>
  <c r="D38" i="44"/>
  <c r="B38" i="44"/>
  <c r="D37" i="44"/>
  <c r="B37" i="44"/>
  <c r="D36" i="44"/>
  <c r="B36" i="44"/>
  <c r="D35" i="44"/>
  <c r="B35" i="44"/>
  <c r="D34" i="44"/>
  <c r="B34" i="44"/>
  <c r="D33" i="44"/>
  <c r="B33" i="44"/>
  <c r="D32" i="44"/>
  <c r="B32" i="44"/>
  <c r="D31" i="44"/>
  <c r="B31" i="44"/>
  <c r="D30" i="44"/>
  <c r="B30" i="44"/>
  <c r="D29" i="44"/>
  <c r="B29" i="44"/>
  <c r="D28" i="44"/>
  <c r="B28" i="44"/>
  <c r="D27" i="44"/>
  <c r="B27" i="44"/>
  <c r="D26" i="44"/>
  <c r="B26" i="44"/>
  <c r="D25" i="44"/>
  <c r="B25" i="44"/>
  <c r="D24" i="44"/>
  <c r="B24" i="44"/>
  <c r="D23" i="44"/>
  <c r="B23" i="44"/>
  <c r="D22" i="44"/>
  <c r="B22" i="44"/>
  <c r="D21" i="44"/>
  <c r="B21" i="44"/>
  <c r="D20" i="44"/>
  <c r="B20" i="44"/>
  <c r="D19" i="44"/>
  <c r="B19" i="44"/>
  <c r="D18" i="44"/>
  <c r="B18" i="44"/>
  <c r="D17" i="44"/>
  <c r="B17" i="44"/>
  <c r="D16" i="44"/>
  <c r="B16" i="44"/>
  <c r="D15" i="44"/>
  <c r="B15" i="44"/>
  <c r="D14" i="44"/>
  <c r="B14" i="44"/>
  <c r="D13" i="44"/>
  <c r="B13" i="44"/>
  <c r="D12" i="44"/>
  <c r="B12" i="44"/>
  <c r="D11" i="44"/>
  <c r="B11" i="44"/>
  <c r="D10" i="44"/>
  <c r="B10" i="44"/>
  <c r="D9" i="44"/>
  <c r="B9" i="44"/>
  <c r="D8" i="44"/>
  <c r="B8" i="44"/>
  <c r="D7" i="44"/>
  <c r="B7" i="44"/>
  <c r="D6" i="44"/>
  <c r="B6" i="44"/>
  <c r="D5" i="44"/>
  <c r="B5" i="44"/>
  <c r="D4" i="44"/>
  <c r="B4" i="44"/>
  <c r="D3" i="44"/>
  <c r="K51" i="44" s="1"/>
  <c r="B3" i="44"/>
  <c r="D82" i="43"/>
  <c r="B82" i="43"/>
  <c r="D81" i="43"/>
  <c r="B81" i="43"/>
  <c r="D80" i="43"/>
  <c r="B80" i="43"/>
  <c r="D79" i="43"/>
  <c r="B79" i="43"/>
  <c r="D78" i="43"/>
  <c r="B78" i="43"/>
  <c r="D77" i="43"/>
  <c r="B77" i="43"/>
  <c r="D76" i="43"/>
  <c r="B76" i="43"/>
  <c r="D75" i="43"/>
  <c r="B75" i="43"/>
  <c r="D74" i="43"/>
  <c r="B74" i="43"/>
  <c r="D73" i="43"/>
  <c r="B73" i="43"/>
  <c r="D72" i="43"/>
  <c r="B72" i="43"/>
  <c r="D71" i="43"/>
  <c r="B71" i="43"/>
  <c r="D70" i="43"/>
  <c r="B70" i="43"/>
  <c r="D69" i="43"/>
  <c r="B69" i="43"/>
  <c r="D68" i="43"/>
  <c r="B68" i="43"/>
  <c r="D67" i="43"/>
  <c r="B67" i="43"/>
  <c r="D66" i="43"/>
  <c r="B66" i="43"/>
  <c r="D65" i="43"/>
  <c r="B65" i="43"/>
  <c r="D64" i="43"/>
  <c r="B64" i="43"/>
  <c r="D63" i="43"/>
  <c r="B63" i="43"/>
  <c r="D62" i="43"/>
  <c r="B62" i="43"/>
  <c r="D61" i="43"/>
  <c r="B61" i="43"/>
  <c r="D60" i="43"/>
  <c r="K83" i="43" s="1"/>
  <c r="B60" i="43"/>
  <c r="D50" i="43"/>
  <c r="B50" i="43"/>
  <c r="D49" i="43"/>
  <c r="B49" i="43"/>
  <c r="D48" i="43"/>
  <c r="B48" i="43"/>
  <c r="D47" i="43"/>
  <c r="B47" i="43"/>
  <c r="D46" i="43"/>
  <c r="B46" i="43"/>
  <c r="D45" i="43"/>
  <c r="B45" i="43"/>
  <c r="D44" i="43"/>
  <c r="B44" i="43"/>
  <c r="D43" i="43"/>
  <c r="B43" i="43"/>
  <c r="D42" i="43"/>
  <c r="B42" i="43"/>
  <c r="D41" i="43"/>
  <c r="B41" i="43"/>
  <c r="D40" i="43"/>
  <c r="B40" i="43"/>
  <c r="D39" i="43"/>
  <c r="B39" i="43"/>
  <c r="D38" i="43"/>
  <c r="B38" i="43"/>
  <c r="D37" i="43"/>
  <c r="B37" i="43"/>
  <c r="D36" i="43"/>
  <c r="B36" i="43"/>
  <c r="D35" i="43"/>
  <c r="B35" i="43"/>
  <c r="D34" i="43"/>
  <c r="B34" i="43"/>
  <c r="D33" i="43"/>
  <c r="B33" i="43"/>
  <c r="D32" i="43"/>
  <c r="B32" i="43"/>
  <c r="D31" i="43"/>
  <c r="B31" i="43"/>
  <c r="D30" i="43"/>
  <c r="B30" i="43"/>
  <c r="D29" i="43"/>
  <c r="B29" i="43"/>
  <c r="D28" i="43"/>
  <c r="B28" i="43"/>
  <c r="D27" i="43"/>
  <c r="B27" i="43"/>
  <c r="D26" i="43"/>
  <c r="B26" i="43"/>
  <c r="D25" i="43"/>
  <c r="B25" i="43"/>
  <c r="D24" i="43"/>
  <c r="B24" i="43"/>
  <c r="D23" i="43"/>
  <c r="B23" i="43"/>
  <c r="D22" i="43"/>
  <c r="B22" i="43"/>
  <c r="D21" i="43"/>
  <c r="B21" i="43"/>
  <c r="D20" i="43"/>
  <c r="B20" i="43"/>
  <c r="D19" i="43"/>
  <c r="B19" i="43"/>
  <c r="D18" i="43"/>
  <c r="B18" i="43"/>
  <c r="D17" i="43"/>
  <c r="B17" i="43"/>
  <c r="D16" i="43"/>
  <c r="B16" i="43"/>
  <c r="D15" i="43"/>
  <c r="B15" i="43"/>
  <c r="D14" i="43"/>
  <c r="B14" i="43"/>
  <c r="D13" i="43"/>
  <c r="B13" i="43"/>
  <c r="D12" i="43"/>
  <c r="B12" i="43"/>
  <c r="D11" i="43"/>
  <c r="B11" i="43"/>
  <c r="D10" i="43"/>
  <c r="B10" i="43"/>
  <c r="D9" i="43"/>
  <c r="B9" i="43"/>
  <c r="D8" i="43"/>
  <c r="B8" i="43"/>
  <c r="D7" i="43"/>
  <c r="B7" i="43"/>
  <c r="D6" i="43"/>
  <c r="B6" i="43"/>
  <c r="D5" i="43"/>
  <c r="B5" i="43"/>
  <c r="D4" i="43"/>
  <c r="B4" i="43"/>
  <c r="D3" i="43"/>
  <c r="K51" i="43" s="1"/>
  <c r="B3" i="43"/>
  <c r="D82" i="42"/>
  <c r="B82" i="42"/>
  <c r="D81" i="42"/>
  <c r="B81" i="42"/>
  <c r="D80" i="42"/>
  <c r="B80" i="42"/>
  <c r="D79" i="42"/>
  <c r="B79" i="42"/>
  <c r="D78" i="42"/>
  <c r="B78" i="42"/>
  <c r="D77" i="42"/>
  <c r="B77" i="42"/>
  <c r="D76" i="42"/>
  <c r="B76" i="42"/>
  <c r="D75" i="42"/>
  <c r="B75" i="42"/>
  <c r="D74" i="42"/>
  <c r="B74" i="42"/>
  <c r="D73" i="42"/>
  <c r="B73" i="42"/>
  <c r="D72" i="42"/>
  <c r="B72" i="42"/>
  <c r="D71" i="42"/>
  <c r="B71" i="42"/>
  <c r="D70" i="42"/>
  <c r="B70" i="42"/>
  <c r="D69" i="42"/>
  <c r="B69" i="42"/>
  <c r="D68" i="42"/>
  <c r="B68" i="42"/>
  <c r="D67" i="42"/>
  <c r="B67" i="42"/>
  <c r="D66" i="42"/>
  <c r="B66" i="42"/>
  <c r="D65" i="42"/>
  <c r="B65" i="42"/>
  <c r="D64" i="42"/>
  <c r="B64" i="42"/>
  <c r="D63" i="42"/>
  <c r="B63" i="42"/>
  <c r="D62" i="42"/>
  <c r="B62" i="42"/>
  <c r="D61" i="42"/>
  <c r="B61" i="42"/>
  <c r="D60" i="42"/>
  <c r="K83" i="42" s="1"/>
  <c r="B60" i="42"/>
  <c r="D50" i="42"/>
  <c r="B50" i="42"/>
  <c r="D49" i="42"/>
  <c r="B49" i="42"/>
  <c r="D48" i="42"/>
  <c r="B48" i="42"/>
  <c r="D47" i="42"/>
  <c r="B47" i="42"/>
  <c r="D46" i="42"/>
  <c r="B46" i="42"/>
  <c r="D45" i="42"/>
  <c r="B45" i="42"/>
  <c r="D44" i="42"/>
  <c r="B44" i="42"/>
  <c r="D43" i="42"/>
  <c r="B43" i="42"/>
  <c r="D42" i="42"/>
  <c r="B42" i="42"/>
  <c r="D41" i="42"/>
  <c r="B41" i="42"/>
  <c r="D40" i="42"/>
  <c r="B40" i="42"/>
  <c r="D39" i="42"/>
  <c r="B39" i="42"/>
  <c r="D38" i="42"/>
  <c r="B38" i="42"/>
  <c r="D37" i="42"/>
  <c r="B37" i="42"/>
  <c r="D36" i="42"/>
  <c r="B36" i="42"/>
  <c r="D35" i="42"/>
  <c r="B35" i="42"/>
  <c r="D34" i="42"/>
  <c r="B34" i="42"/>
  <c r="D33" i="42"/>
  <c r="B33" i="42"/>
  <c r="D32" i="42"/>
  <c r="B32" i="42"/>
  <c r="D31" i="42"/>
  <c r="B31" i="42"/>
  <c r="D30" i="42"/>
  <c r="B30" i="42"/>
  <c r="D29" i="42"/>
  <c r="B29" i="42"/>
  <c r="D28" i="42"/>
  <c r="B28" i="42"/>
  <c r="D27" i="42"/>
  <c r="B27" i="42"/>
  <c r="D26" i="42"/>
  <c r="B26" i="42"/>
  <c r="D25" i="42"/>
  <c r="B25" i="42"/>
  <c r="D24" i="42"/>
  <c r="B24" i="42"/>
  <c r="D23" i="42"/>
  <c r="B23" i="42"/>
  <c r="D22" i="42"/>
  <c r="B22" i="42"/>
  <c r="D21" i="42"/>
  <c r="B21" i="42"/>
  <c r="D20" i="42"/>
  <c r="B20" i="42"/>
  <c r="D19" i="42"/>
  <c r="B19" i="42"/>
  <c r="D18" i="42"/>
  <c r="B18" i="42"/>
  <c r="D17" i="42"/>
  <c r="B17" i="42"/>
  <c r="D16" i="42"/>
  <c r="B16" i="42"/>
  <c r="D15" i="42"/>
  <c r="B15" i="42"/>
  <c r="D14" i="42"/>
  <c r="B14" i="42"/>
  <c r="D13" i="42"/>
  <c r="B13" i="42"/>
  <c r="D12" i="42"/>
  <c r="B12" i="42"/>
  <c r="D11" i="42"/>
  <c r="B11" i="42"/>
  <c r="D10" i="42"/>
  <c r="B10" i="42"/>
  <c r="D9" i="42"/>
  <c r="B9" i="42"/>
  <c r="D8" i="42"/>
  <c r="B8" i="42"/>
  <c r="D7" i="42"/>
  <c r="B7" i="42"/>
  <c r="D6" i="42"/>
  <c r="B6" i="42"/>
  <c r="D5" i="42"/>
  <c r="B5" i="42"/>
  <c r="D4" i="42"/>
  <c r="B4" i="42"/>
  <c r="K51" i="42"/>
  <c r="B3" i="42"/>
  <c r="D83" i="41"/>
  <c r="B83" i="41"/>
  <c r="D82" i="41"/>
  <c r="B82" i="41"/>
  <c r="D81" i="41"/>
  <c r="B81" i="41"/>
  <c r="D80" i="41"/>
  <c r="B80" i="41"/>
  <c r="D79" i="41"/>
  <c r="B79" i="41"/>
  <c r="D78" i="41"/>
  <c r="B78" i="41"/>
  <c r="D77" i="41"/>
  <c r="B77" i="41"/>
  <c r="D76" i="41"/>
  <c r="B76" i="41"/>
  <c r="D75" i="41"/>
  <c r="B75" i="41"/>
  <c r="D74" i="41"/>
  <c r="B74" i="41"/>
  <c r="D73" i="41"/>
  <c r="B73" i="41"/>
  <c r="D72" i="41"/>
  <c r="B72" i="41"/>
  <c r="D71" i="41"/>
  <c r="B71" i="41"/>
  <c r="D70" i="41"/>
  <c r="B70" i="41"/>
  <c r="D69" i="41"/>
  <c r="B69" i="41"/>
  <c r="D68" i="41"/>
  <c r="B68" i="41"/>
  <c r="D67" i="41"/>
  <c r="B67" i="41"/>
  <c r="D66" i="41"/>
  <c r="B66" i="41"/>
  <c r="D65" i="41"/>
  <c r="B65" i="41"/>
  <c r="D64" i="41"/>
  <c r="B64" i="41"/>
  <c r="D63" i="41"/>
  <c r="B63" i="41"/>
  <c r="D62" i="41"/>
  <c r="B62" i="41"/>
  <c r="D61" i="41"/>
  <c r="K84" i="41" s="1"/>
  <c r="B61" i="41"/>
  <c r="D51" i="41"/>
  <c r="B51" i="41"/>
  <c r="D50" i="41"/>
  <c r="B50" i="41"/>
  <c r="D49" i="41"/>
  <c r="B49" i="41"/>
  <c r="D48" i="41"/>
  <c r="B48" i="41"/>
  <c r="D47" i="41"/>
  <c r="B47" i="41"/>
  <c r="D46" i="41"/>
  <c r="B46" i="41"/>
  <c r="D45" i="41"/>
  <c r="B45" i="41"/>
  <c r="D44" i="41"/>
  <c r="B44" i="41"/>
  <c r="D43" i="41"/>
  <c r="B43" i="41"/>
  <c r="D42" i="41"/>
  <c r="B42" i="41"/>
  <c r="D41" i="41"/>
  <c r="B41" i="41"/>
  <c r="D40" i="41"/>
  <c r="B40" i="41"/>
  <c r="D39" i="41"/>
  <c r="B39" i="41"/>
  <c r="D38" i="41"/>
  <c r="B38" i="41"/>
  <c r="D37" i="41"/>
  <c r="B37" i="41"/>
  <c r="D36" i="41"/>
  <c r="B36" i="41"/>
  <c r="D35" i="41"/>
  <c r="B35" i="41"/>
  <c r="D34" i="41"/>
  <c r="B34" i="41"/>
  <c r="D33" i="41"/>
  <c r="B33" i="41"/>
  <c r="D32" i="41"/>
  <c r="B32" i="41"/>
  <c r="B31" i="41"/>
  <c r="D31" i="41" s="1"/>
  <c r="B30" i="41"/>
  <c r="D30" i="41" s="1"/>
  <c r="B28" i="41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B3" i="41"/>
  <c r="D118" i="40"/>
  <c r="B118" i="40"/>
  <c r="D117" i="40"/>
  <c r="B117" i="40"/>
  <c r="D116" i="40"/>
  <c r="B116" i="40"/>
  <c r="D115" i="40"/>
  <c r="B115" i="40"/>
  <c r="D114" i="40"/>
  <c r="B114" i="40"/>
  <c r="D113" i="40"/>
  <c r="B113" i="40"/>
  <c r="D112" i="40"/>
  <c r="B112" i="40"/>
  <c r="D111" i="40"/>
  <c r="B111" i="40"/>
  <c r="D110" i="40"/>
  <c r="B110" i="40"/>
  <c r="D109" i="40"/>
  <c r="B109" i="40"/>
  <c r="D108" i="40"/>
  <c r="B108" i="40"/>
  <c r="D107" i="40"/>
  <c r="B107" i="40"/>
  <c r="D106" i="40"/>
  <c r="B106" i="40"/>
  <c r="D105" i="40"/>
  <c r="B105" i="40"/>
  <c r="D104" i="40"/>
  <c r="B104" i="40"/>
  <c r="D103" i="40"/>
  <c r="B103" i="40"/>
  <c r="D102" i="40"/>
  <c r="B102" i="40"/>
  <c r="D101" i="40"/>
  <c r="B101" i="40"/>
  <c r="D100" i="40"/>
  <c r="B100" i="40"/>
  <c r="D99" i="40"/>
  <c r="B99" i="40"/>
  <c r="D98" i="40"/>
  <c r="B98" i="40"/>
  <c r="D97" i="40"/>
  <c r="B97" i="40"/>
  <c r="B96" i="40"/>
  <c r="D96" i="40" s="1"/>
  <c r="K119" i="40" s="1"/>
  <c r="B50" i="40"/>
  <c r="D50" i="40" s="1"/>
  <c r="B49" i="40"/>
  <c r="D49" i="40" s="1"/>
  <c r="B48" i="40"/>
  <c r="D48" i="40" s="1"/>
  <c r="B47" i="40"/>
  <c r="D47" i="40" s="1"/>
  <c r="B46" i="40"/>
  <c r="D46" i="40" s="1"/>
  <c r="B45" i="40"/>
  <c r="D45" i="40" s="1"/>
  <c r="B44" i="40"/>
  <c r="D44" i="40" s="1"/>
  <c r="B43" i="40"/>
  <c r="D43" i="40" s="1"/>
  <c r="B42" i="40"/>
  <c r="D42" i="40" s="1"/>
  <c r="B41" i="40"/>
  <c r="D41" i="40" s="1"/>
  <c r="B40" i="40"/>
  <c r="D40" i="40" s="1"/>
  <c r="B39" i="40"/>
  <c r="D39" i="40" s="1"/>
  <c r="B38" i="40"/>
  <c r="D38" i="40" s="1"/>
  <c r="B37" i="40"/>
  <c r="D37" i="40" s="1"/>
  <c r="B36" i="40"/>
  <c r="D36" i="40" s="1"/>
  <c r="B35" i="40"/>
  <c r="D35" i="40" s="1"/>
  <c r="B34" i="40"/>
  <c r="D34" i="40" s="1"/>
  <c r="B33" i="40"/>
  <c r="D33" i="40" s="1"/>
  <c r="B32" i="40"/>
  <c r="D32" i="40" s="1"/>
  <c r="B31" i="40"/>
  <c r="D31" i="40" s="1"/>
  <c r="B30" i="40"/>
  <c r="D30" i="40" s="1"/>
  <c r="B29" i="40"/>
  <c r="D29" i="40" s="1"/>
  <c r="B28" i="40"/>
  <c r="D28" i="40" s="1"/>
  <c r="B27" i="40"/>
  <c r="D27" i="40" s="1"/>
  <c r="B26" i="40"/>
  <c r="D26" i="40" s="1"/>
  <c r="B25" i="40"/>
  <c r="B24" i="40"/>
  <c r="D24" i="40" s="1"/>
  <c r="B23" i="40"/>
  <c r="D23" i="40" s="1"/>
  <c r="B22" i="40"/>
  <c r="D22" i="40" s="1"/>
  <c r="B21" i="40"/>
  <c r="D21" i="40" s="1"/>
  <c r="B20" i="40"/>
  <c r="D20" i="40" s="1"/>
  <c r="B19" i="40"/>
  <c r="D19" i="40" s="1"/>
  <c r="B18" i="40"/>
  <c r="D18" i="40" s="1"/>
  <c r="B17" i="40"/>
  <c r="D17" i="40" s="1"/>
  <c r="B16" i="40"/>
  <c r="D16" i="40" s="1"/>
  <c r="B15" i="40"/>
  <c r="D15" i="40" s="1"/>
  <c r="B14" i="40"/>
  <c r="D14" i="40" s="1"/>
  <c r="B13" i="40"/>
  <c r="D13" i="40" s="1"/>
  <c r="B12" i="40"/>
  <c r="D12" i="40" s="1"/>
  <c r="B11" i="40"/>
  <c r="D11" i="40" s="1"/>
  <c r="B10" i="40"/>
  <c r="B9" i="40"/>
  <c r="D9" i="40" s="1"/>
  <c r="B8" i="40"/>
  <c r="D8" i="40" s="1"/>
  <c r="B7" i="40"/>
  <c r="D7" i="40" s="1"/>
  <c r="B6" i="40"/>
  <c r="D6" i="40" s="1"/>
  <c r="B5" i="40"/>
  <c r="B4" i="40"/>
  <c r="D4" i="40" s="1"/>
  <c r="B3" i="40"/>
  <c r="D3" i="40" s="1"/>
  <c r="K87" i="40" s="1"/>
  <c r="D82" i="39"/>
  <c r="B82" i="39"/>
  <c r="D81" i="39"/>
  <c r="B81" i="39"/>
  <c r="D80" i="39"/>
  <c r="B80" i="39"/>
  <c r="D79" i="39"/>
  <c r="B79" i="39"/>
  <c r="D78" i="39"/>
  <c r="B78" i="39"/>
  <c r="D77" i="39"/>
  <c r="B77" i="39"/>
  <c r="D76" i="39"/>
  <c r="B76" i="39"/>
  <c r="D75" i="39"/>
  <c r="B75" i="39"/>
  <c r="D74" i="39"/>
  <c r="B74" i="39"/>
  <c r="D73" i="39"/>
  <c r="B73" i="39"/>
  <c r="D72" i="39"/>
  <c r="B72" i="39"/>
  <c r="D71" i="39"/>
  <c r="B71" i="39"/>
  <c r="D70" i="39"/>
  <c r="B70" i="39"/>
  <c r="D69" i="39"/>
  <c r="B69" i="39"/>
  <c r="D68" i="39"/>
  <c r="B68" i="39"/>
  <c r="D67" i="39"/>
  <c r="B67" i="39"/>
  <c r="D66" i="39"/>
  <c r="B66" i="39"/>
  <c r="D65" i="39"/>
  <c r="B65" i="39"/>
  <c r="D64" i="39"/>
  <c r="B64" i="39"/>
  <c r="D63" i="39"/>
  <c r="B63" i="39"/>
  <c r="D62" i="39"/>
  <c r="B62" i="39"/>
  <c r="D61" i="39"/>
  <c r="B61" i="39"/>
  <c r="D60" i="39"/>
  <c r="K83" i="39" s="1"/>
  <c r="B60" i="39"/>
  <c r="D50" i="39"/>
  <c r="B50" i="39"/>
  <c r="D49" i="39"/>
  <c r="B49" i="39"/>
  <c r="D48" i="39"/>
  <c r="B48" i="39"/>
  <c r="D47" i="39"/>
  <c r="B47" i="39"/>
  <c r="D46" i="39"/>
  <c r="B46" i="39"/>
  <c r="D45" i="39"/>
  <c r="B45" i="39"/>
  <c r="D44" i="39"/>
  <c r="B44" i="39"/>
  <c r="D43" i="39"/>
  <c r="B43" i="39"/>
  <c r="D42" i="39"/>
  <c r="B42" i="39"/>
  <c r="D41" i="39"/>
  <c r="B41" i="39"/>
  <c r="D40" i="39"/>
  <c r="B40" i="39"/>
  <c r="D39" i="39"/>
  <c r="B39" i="39"/>
  <c r="D38" i="39"/>
  <c r="B38" i="39"/>
  <c r="D37" i="39"/>
  <c r="B37" i="39"/>
  <c r="D36" i="39"/>
  <c r="B36" i="39"/>
  <c r="D35" i="39"/>
  <c r="B35" i="39"/>
  <c r="D34" i="39"/>
  <c r="B34" i="39"/>
  <c r="D33" i="39"/>
  <c r="B33" i="39"/>
  <c r="D32" i="39"/>
  <c r="B32" i="39"/>
  <c r="D31" i="39"/>
  <c r="B31" i="39"/>
  <c r="D30" i="39"/>
  <c r="B30" i="39"/>
  <c r="D29" i="39"/>
  <c r="B29" i="39"/>
  <c r="D28" i="39"/>
  <c r="B28" i="39"/>
  <c r="D27" i="39"/>
  <c r="B27" i="39"/>
  <c r="D26" i="39"/>
  <c r="B26" i="39"/>
  <c r="D25" i="39"/>
  <c r="B25" i="39"/>
  <c r="D24" i="39"/>
  <c r="B24" i="39"/>
  <c r="D23" i="39"/>
  <c r="B23" i="39"/>
  <c r="D22" i="39"/>
  <c r="B22" i="39"/>
  <c r="D21" i="39"/>
  <c r="B21" i="39"/>
  <c r="B12" i="39"/>
  <c r="B11" i="39"/>
  <c r="B10" i="39"/>
  <c r="B9" i="39"/>
  <c r="B8" i="39"/>
  <c r="B5" i="39"/>
  <c r="B4" i="39"/>
  <c r="B3" i="39"/>
  <c r="D102" i="38"/>
  <c r="B102" i="38"/>
  <c r="D101" i="38"/>
  <c r="B101" i="38"/>
  <c r="D100" i="38"/>
  <c r="B100" i="38"/>
  <c r="D99" i="38"/>
  <c r="B99" i="38"/>
  <c r="D98" i="38"/>
  <c r="B98" i="38"/>
  <c r="D97" i="38"/>
  <c r="B97" i="38"/>
  <c r="D96" i="38"/>
  <c r="B96" i="38"/>
  <c r="D95" i="38"/>
  <c r="B95" i="38"/>
  <c r="D94" i="38"/>
  <c r="B94" i="38"/>
  <c r="D93" i="38"/>
  <c r="B93" i="38"/>
  <c r="D92" i="38"/>
  <c r="B92" i="38"/>
  <c r="D91" i="38"/>
  <c r="B91" i="38"/>
  <c r="D90" i="38"/>
  <c r="B90" i="38"/>
  <c r="D89" i="38"/>
  <c r="B89" i="38"/>
  <c r="D88" i="38"/>
  <c r="B88" i="38"/>
  <c r="D87" i="38"/>
  <c r="B87" i="38"/>
  <c r="D86" i="38"/>
  <c r="B86" i="38"/>
  <c r="D85" i="38"/>
  <c r="B85" i="38"/>
  <c r="D84" i="38"/>
  <c r="B84" i="38"/>
  <c r="D83" i="38"/>
  <c r="B83" i="38"/>
  <c r="D82" i="38"/>
  <c r="B82" i="38"/>
  <c r="D81" i="38"/>
  <c r="B81" i="38"/>
  <c r="B80" i="38"/>
  <c r="D80" i="38" s="1"/>
  <c r="K103" i="38" s="1"/>
  <c r="D45" i="38"/>
  <c r="B45" i="38"/>
  <c r="B44" i="38"/>
  <c r="D44" i="38" s="1"/>
  <c r="B43" i="38"/>
  <c r="D43" i="38" s="1"/>
  <c r="B42" i="38"/>
  <c r="D42" i="38" s="1"/>
  <c r="B41" i="38"/>
  <c r="D41" i="38" s="1"/>
  <c r="B40" i="38"/>
  <c r="D40" i="38" s="1"/>
  <c r="B39" i="38"/>
  <c r="D39" i="38" s="1"/>
  <c r="B38" i="38"/>
  <c r="D38" i="38" s="1"/>
  <c r="B37" i="38"/>
  <c r="D37" i="38" s="1"/>
  <c r="B36" i="38"/>
  <c r="D36" i="38" s="1"/>
  <c r="B35" i="38"/>
  <c r="D35" i="38" s="1"/>
  <c r="B34" i="38"/>
  <c r="D34" i="38" s="1"/>
  <c r="B33" i="38"/>
  <c r="D33" i="38" s="1"/>
  <c r="B32" i="38"/>
  <c r="D32" i="38" s="1"/>
  <c r="B31" i="38"/>
  <c r="D31" i="38" s="1"/>
  <c r="B30" i="38"/>
  <c r="D30" i="38" s="1"/>
  <c r="B29" i="38"/>
  <c r="D29" i="38" s="1"/>
  <c r="B28" i="38"/>
  <c r="D28" i="38" s="1"/>
  <c r="B27" i="38"/>
  <c r="D27" i="38" s="1"/>
  <c r="B26" i="38"/>
  <c r="D26" i="38" s="1"/>
  <c r="B25" i="38"/>
  <c r="D25" i="38" s="1"/>
  <c r="B24" i="38"/>
  <c r="D24" i="38" s="1"/>
  <c r="B23" i="38"/>
  <c r="D23" i="38" s="1"/>
  <c r="B22" i="38"/>
  <c r="D22" i="38" s="1"/>
  <c r="B21" i="38"/>
  <c r="D21" i="38" s="1"/>
  <c r="B20" i="38"/>
  <c r="D20" i="38" s="1"/>
  <c r="B19" i="38"/>
  <c r="D19" i="38" s="1"/>
  <c r="B18" i="38"/>
  <c r="D18" i="38" s="1"/>
  <c r="B17" i="38"/>
  <c r="D17" i="38" s="1"/>
  <c r="B16" i="38"/>
  <c r="D16" i="38" s="1"/>
  <c r="B15" i="38"/>
  <c r="D15" i="38" s="1"/>
  <c r="B14" i="38"/>
  <c r="D14" i="38" s="1"/>
  <c r="B13" i="38"/>
  <c r="D13" i="38" s="1"/>
  <c r="B12" i="38"/>
  <c r="D12" i="38" s="1"/>
  <c r="B11" i="38"/>
  <c r="D11" i="38" s="1"/>
  <c r="B10" i="38"/>
  <c r="D10" i="38" s="1"/>
  <c r="B9" i="38"/>
  <c r="D9" i="38" s="1"/>
  <c r="B8" i="38"/>
  <c r="D8" i="38" s="1"/>
  <c r="B6" i="38"/>
  <c r="B5" i="38"/>
  <c r="B4" i="38"/>
  <c r="D4" i="38" s="1"/>
  <c r="B3" i="38"/>
  <c r="D3" i="38" s="1"/>
  <c r="K71" i="38" s="1"/>
  <c r="D96" i="37"/>
  <c r="B96" i="37"/>
  <c r="D95" i="37"/>
  <c r="B95" i="37"/>
  <c r="D94" i="37"/>
  <c r="B94" i="37"/>
  <c r="D93" i="37"/>
  <c r="B93" i="37"/>
  <c r="D92" i="37"/>
  <c r="B92" i="37"/>
  <c r="D91" i="37"/>
  <c r="B91" i="37"/>
  <c r="D90" i="37"/>
  <c r="B90" i="37"/>
  <c r="D89" i="37"/>
  <c r="B89" i="37"/>
  <c r="D88" i="37"/>
  <c r="B88" i="37"/>
  <c r="D87" i="37"/>
  <c r="B87" i="37"/>
  <c r="D86" i="37"/>
  <c r="B86" i="37"/>
  <c r="D85" i="37"/>
  <c r="B85" i="37"/>
  <c r="D84" i="37"/>
  <c r="B84" i="37"/>
  <c r="D83" i="37"/>
  <c r="B83" i="37"/>
  <c r="D82" i="37"/>
  <c r="B82" i="37"/>
  <c r="D81" i="37"/>
  <c r="B81" i="37"/>
  <c r="D80" i="37"/>
  <c r="B80" i="37"/>
  <c r="D79" i="37"/>
  <c r="B79" i="37"/>
  <c r="D78" i="37"/>
  <c r="B78" i="37"/>
  <c r="D77" i="37"/>
  <c r="B77" i="37"/>
  <c r="B76" i="37"/>
  <c r="D76" i="37" s="1"/>
  <c r="B75" i="37"/>
  <c r="D75" i="37" s="1"/>
  <c r="B74" i="37"/>
  <c r="D74" i="37" s="1"/>
  <c r="K97" i="37" s="1"/>
  <c r="B64" i="37"/>
  <c r="B63" i="37"/>
  <c r="B62" i="37"/>
  <c r="B61" i="37"/>
  <c r="B60" i="37"/>
  <c r="B59" i="37"/>
  <c r="B35" i="37"/>
  <c r="D35" i="37" s="1"/>
  <c r="B34" i="37"/>
  <c r="D34" i="37" s="1"/>
  <c r="B33" i="37"/>
  <c r="D33" i="37" s="1"/>
  <c r="B32" i="37"/>
  <c r="D32" i="37" s="1"/>
  <c r="B31" i="37"/>
  <c r="D31" i="37" s="1"/>
  <c r="B30" i="37"/>
  <c r="D30" i="37" s="1"/>
  <c r="B29" i="37"/>
  <c r="D29" i="37" s="1"/>
  <c r="B28" i="37"/>
  <c r="D28" i="37" s="1"/>
  <c r="B27" i="37"/>
  <c r="D27" i="37" s="1"/>
  <c r="B26" i="37"/>
  <c r="D26" i="37" s="1"/>
  <c r="B25" i="37"/>
  <c r="D25" i="37" s="1"/>
  <c r="B24" i="37"/>
  <c r="D24" i="37" s="1"/>
  <c r="B23" i="37"/>
  <c r="D23" i="37" s="1"/>
  <c r="B22" i="37"/>
  <c r="D22" i="37" s="1"/>
  <c r="B21" i="37"/>
  <c r="D21" i="37" s="1"/>
  <c r="B20" i="37"/>
  <c r="D20" i="37" s="1"/>
  <c r="B19" i="37"/>
  <c r="D19" i="37" s="1"/>
  <c r="B18" i="37"/>
  <c r="D18" i="37" s="1"/>
  <c r="B17" i="37"/>
  <c r="D17" i="37" s="1"/>
  <c r="B16" i="37"/>
  <c r="D16" i="37" s="1"/>
  <c r="B15" i="37"/>
  <c r="D15" i="37" s="1"/>
  <c r="B14" i="37"/>
  <c r="D14" i="37" s="1"/>
  <c r="B13" i="37"/>
  <c r="D13" i="37" s="1"/>
  <c r="B12" i="37"/>
  <c r="D12" i="37" s="1"/>
  <c r="B11" i="37"/>
  <c r="D11" i="37" s="1"/>
  <c r="B10" i="37"/>
  <c r="D10" i="37" s="1"/>
  <c r="B9" i="37"/>
  <c r="D9" i="37" s="1"/>
  <c r="B8" i="37"/>
  <c r="D8" i="37" s="1"/>
  <c r="B7" i="37"/>
  <c r="D7" i="37" s="1"/>
  <c r="B6" i="37"/>
  <c r="D6" i="37" s="1"/>
  <c r="B5" i="37"/>
  <c r="D5" i="37" s="1"/>
  <c r="B4" i="37"/>
  <c r="D4" i="37" s="1"/>
  <c r="K65" i="37" s="1"/>
  <c r="B3" i="37"/>
  <c r="D83" i="36"/>
  <c r="B83" i="36"/>
  <c r="D82" i="36"/>
  <c r="B82" i="36"/>
  <c r="D81" i="36"/>
  <c r="B81" i="36"/>
  <c r="D80" i="36"/>
  <c r="B80" i="36"/>
  <c r="D79" i="36"/>
  <c r="B79" i="36"/>
  <c r="D78" i="36"/>
  <c r="B78" i="36"/>
  <c r="D77" i="36"/>
  <c r="B77" i="36"/>
  <c r="D76" i="36"/>
  <c r="B76" i="36"/>
  <c r="D75" i="36"/>
  <c r="B75" i="36"/>
  <c r="D74" i="36"/>
  <c r="B74" i="36"/>
  <c r="D73" i="36"/>
  <c r="B73" i="36"/>
  <c r="D72" i="36"/>
  <c r="B72" i="36"/>
  <c r="D71" i="36"/>
  <c r="B71" i="36"/>
  <c r="D70" i="36"/>
  <c r="B70" i="36"/>
  <c r="D69" i="36"/>
  <c r="B69" i="36"/>
  <c r="D68" i="36"/>
  <c r="B68" i="36"/>
  <c r="D67" i="36"/>
  <c r="B67" i="36"/>
  <c r="D66" i="36"/>
  <c r="B66" i="36"/>
  <c r="D65" i="36"/>
  <c r="B65" i="36"/>
  <c r="B64" i="36"/>
  <c r="D64" i="36" s="1"/>
  <c r="B63" i="36"/>
  <c r="D63" i="36" s="1"/>
  <c r="B62" i="36"/>
  <c r="D62" i="36" s="1"/>
  <c r="B61" i="36"/>
  <c r="D61" i="36" s="1"/>
  <c r="K84" i="36" s="1"/>
  <c r="D91" i="35"/>
  <c r="B91" i="35"/>
  <c r="D90" i="35"/>
  <c r="B90" i="35"/>
  <c r="D89" i="35"/>
  <c r="B89" i="35"/>
  <c r="D88" i="35"/>
  <c r="B88" i="35"/>
  <c r="D87" i="35"/>
  <c r="B87" i="35"/>
  <c r="D86" i="35"/>
  <c r="B86" i="35"/>
  <c r="D85" i="35"/>
  <c r="B85" i="35"/>
  <c r="D84" i="35"/>
  <c r="B84" i="35"/>
  <c r="D83" i="35"/>
  <c r="B83" i="35"/>
  <c r="D82" i="35"/>
  <c r="B82" i="35"/>
  <c r="D81" i="35"/>
  <c r="B81" i="35"/>
  <c r="D80" i="35"/>
  <c r="B80" i="35"/>
  <c r="D79" i="35"/>
  <c r="B79" i="35"/>
  <c r="D78" i="35"/>
  <c r="B78" i="35"/>
  <c r="D77" i="35"/>
  <c r="B77" i="35"/>
  <c r="D76" i="35"/>
  <c r="B76" i="35"/>
  <c r="D75" i="35"/>
  <c r="B75" i="35"/>
  <c r="D74" i="35"/>
  <c r="B74" i="35"/>
  <c r="D73" i="35"/>
  <c r="B73" i="35"/>
  <c r="D72" i="35"/>
  <c r="B72" i="35"/>
  <c r="D71" i="35"/>
  <c r="B71" i="35"/>
  <c r="D70" i="35"/>
  <c r="B70" i="35"/>
  <c r="B69" i="35"/>
  <c r="D69" i="35" s="1"/>
  <c r="K92" i="35" s="1"/>
  <c r="D82" i="31"/>
  <c r="B82" i="31"/>
  <c r="D81" i="31"/>
  <c r="B81" i="31"/>
  <c r="D80" i="31"/>
  <c r="B80" i="31"/>
  <c r="D79" i="31"/>
  <c r="B79" i="31"/>
  <c r="D78" i="31"/>
  <c r="B78" i="31"/>
  <c r="D77" i="31"/>
  <c r="B77" i="31"/>
  <c r="D76" i="31"/>
  <c r="B76" i="31"/>
  <c r="D75" i="31"/>
  <c r="B75" i="31"/>
  <c r="D74" i="31"/>
  <c r="B74" i="31"/>
  <c r="D73" i="31"/>
  <c r="B73" i="31"/>
  <c r="D72" i="31"/>
  <c r="B72" i="31"/>
  <c r="D71" i="31"/>
  <c r="B71" i="31"/>
  <c r="D70" i="31"/>
  <c r="B70" i="31"/>
  <c r="D69" i="31"/>
  <c r="B69" i="31"/>
  <c r="D68" i="31"/>
  <c r="B68" i="31"/>
  <c r="D67" i="31"/>
  <c r="B67" i="31"/>
  <c r="D66" i="31"/>
  <c r="B66" i="31"/>
  <c r="D65" i="31"/>
  <c r="B65" i="31"/>
  <c r="D64" i="31"/>
  <c r="B64" i="31"/>
  <c r="D63" i="31"/>
  <c r="B63" i="31"/>
  <c r="D62" i="31"/>
  <c r="B62" i="31"/>
  <c r="D61" i="31"/>
  <c r="B61" i="31"/>
  <c r="B60" i="31"/>
  <c r="D60" i="31" s="1"/>
  <c r="K83" i="31" s="1"/>
  <c r="D50" i="31"/>
  <c r="B50" i="31"/>
  <c r="D49" i="31"/>
  <c r="B49" i="31"/>
  <c r="D48" i="31"/>
  <c r="B48" i="31"/>
  <c r="D47" i="31"/>
  <c r="B47" i="31"/>
  <c r="D46" i="31"/>
  <c r="B46" i="31"/>
  <c r="D45" i="31"/>
  <c r="B45" i="31"/>
  <c r="D44" i="31"/>
  <c r="B44" i="31"/>
  <c r="D43" i="31"/>
  <c r="B43" i="31"/>
  <c r="D42" i="31"/>
  <c r="B42" i="31"/>
  <c r="D41" i="31"/>
  <c r="B41" i="31"/>
  <c r="D40" i="31"/>
  <c r="B40" i="31"/>
  <c r="D39" i="31"/>
  <c r="B39" i="31"/>
  <c r="D38" i="31"/>
  <c r="B38" i="31"/>
  <c r="D37" i="31"/>
  <c r="B37" i="31"/>
  <c r="D36" i="31"/>
  <c r="B36" i="31"/>
  <c r="D35" i="31"/>
  <c r="B35" i="31"/>
  <c r="D34" i="31"/>
  <c r="B34" i="31"/>
  <c r="D33" i="31"/>
  <c r="B33" i="31"/>
  <c r="D32" i="31"/>
  <c r="B32" i="31"/>
  <c r="D31" i="31"/>
  <c r="B31" i="31"/>
  <c r="D30" i="31"/>
  <c r="B30" i="31"/>
  <c r="D29" i="31"/>
  <c r="B29" i="31"/>
  <c r="D28" i="31"/>
  <c r="B28" i="31"/>
  <c r="D27" i="31"/>
  <c r="B27" i="31"/>
  <c r="D26" i="31"/>
  <c r="B26" i="31"/>
  <c r="D25" i="31"/>
  <c r="B25" i="31"/>
  <c r="D24" i="31"/>
  <c r="B24" i="31"/>
  <c r="D23" i="31"/>
  <c r="B23" i="31"/>
  <c r="D22" i="31"/>
  <c r="B22" i="31"/>
  <c r="D21" i="31"/>
  <c r="B21" i="31"/>
  <c r="D20" i="31"/>
  <c r="B20" i="31"/>
  <c r="D19" i="31"/>
  <c r="B19" i="31"/>
  <c r="D18" i="31"/>
  <c r="B18" i="31"/>
  <c r="D17" i="31"/>
  <c r="B17" i="31"/>
  <c r="D16" i="31"/>
  <c r="B16" i="31"/>
  <c r="D15" i="31"/>
  <c r="B15" i="31"/>
  <c r="D14" i="31"/>
  <c r="B14" i="31"/>
  <c r="D13" i="31"/>
  <c r="B13" i="31"/>
  <c r="D12" i="31"/>
  <c r="B12" i="31"/>
  <c r="D11" i="31"/>
  <c r="B11" i="31"/>
  <c r="D10" i="31"/>
  <c r="B10" i="31"/>
  <c r="D9" i="31"/>
  <c r="B9" i="31"/>
  <c r="D8" i="31"/>
  <c r="B8" i="31"/>
  <c r="D7" i="31"/>
  <c r="B7" i="31"/>
  <c r="D6" i="31"/>
  <c r="B6" i="31"/>
  <c r="D5" i="31"/>
  <c r="B5" i="31"/>
  <c r="D4" i="31"/>
  <c r="B4" i="31"/>
  <c r="D3" i="31"/>
  <c r="K51" i="31" s="1"/>
  <c r="B3" i="31"/>
  <c r="D82" i="30"/>
  <c r="B82" i="30"/>
  <c r="D81" i="30"/>
  <c r="B81" i="30"/>
  <c r="D80" i="30"/>
  <c r="B80" i="30"/>
  <c r="D79" i="30"/>
  <c r="B79" i="30"/>
  <c r="D78" i="30"/>
  <c r="B78" i="30"/>
  <c r="D77" i="30"/>
  <c r="B77" i="30"/>
  <c r="D76" i="30"/>
  <c r="B76" i="30"/>
  <c r="D75" i="30"/>
  <c r="B75" i="30"/>
  <c r="D74" i="30"/>
  <c r="B74" i="30"/>
  <c r="D73" i="30"/>
  <c r="B73" i="30"/>
  <c r="D72" i="30"/>
  <c r="B72" i="30"/>
  <c r="D71" i="30"/>
  <c r="B71" i="30"/>
  <c r="D70" i="30"/>
  <c r="B70" i="30"/>
  <c r="D69" i="30"/>
  <c r="B69" i="30"/>
  <c r="D68" i="30"/>
  <c r="B68" i="30"/>
  <c r="D67" i="30"/>
  <c r="B67" i="30"/>
  <c r="D66" i="30"/>
  <c r="B66" i="30"/>
  <c r="D65" i="30"/>
  <c r="B65" i="30"/>
  <c r="D64" i="30"/>
  <c r="B64" i="30"/>
  <c r="D63" i="30"/>
  <c r="B63" i="30"/>
  <c r="D62" i="30"/>
  <c r="B62" i="30"/>
  <c r="D61" i="30"/>
  <c r="B61" i="30"/>
  <c r="D60" i="30"/>
  <c r="K83" i="30" s="1"/>
  <c r="B60" i="30"/>
  <c r="D50" i="30"/>
  <c r="B50" i="30"/>
  <c r="D49" i="30"/>
  <c r="B49" i="30"/>
  <c r="D48" i="30"/>
  <c r="B48" i="30"/>
  <c r="D47" i="30"/>
  <c r="B47" i="30"/>
  <c r="D46" i="30"/>
  <c r="B46" i="30"/>
  <c r="D45" i="30"/>
  <c r="B45" i="30"/>
  <c r="D44" i="30"/>
  <c r="B44" i="30"/>
  <c r="D43" i="30"/>
  <c r="B43" i="30"/>
  <c r="D42" i="30"/>
  <c r="B42" i="30"/>
  <c r="D41" i="30"/>
  <c r="B41" i="30"/>
  <c r="D40" i="30"/>
  <c r="B40" i="30"/>
  <c r="D39" i="30"/>
  <c r="B39" i="30"/>
  <c r="D38" i="30"/>
  <c r="B38" i="30"/>
  <c r="D37" i="30"/>
  <c r="B37" i="30"/>
  <c r="D36" i="30"/>
  <c r="B36" i="30"/>
  <c r="D35" i="30"/>
  <c r="B35" i="30"/>
  <c r="D34" i="30"/>
  <c r="B34" i="30"/>
  <c r="D33" i="30"/>
  <c r="B33" i="30"/>
  <c r="D32" i="30"/>
  <c r="B32" i="30"/>
  <c r="D31" i="30"/>
  <c r="B31" i="30"/>
  <c r="D30" i="30"/>
  <c r="B30" i="30"/>
  <c r="D29" i="30"/>
  <c r="B29" i="30"/>
  <c r="D28" i="30"/>
  <c r="B28" i="30"/>
  <c r="D27" i="30"/>
  <c r="B27" i="30"/>
  <c r="D26" i="30"/>
  <c r="B26" i="30"/>
  <c r="D25" i="30"/>
  <c r="B25" i="30"/>
  <c r="D24" i="30"/>
  <c r="B24" i="30"/>
  <c r="D23" i="30"/>
  <c r="B23" i="30"/>
  <c r="D22" i="30"/>
  <c r="B22" i="30"/>
  <c r="D21" i="30"/>
  <c r="B21" i="30"/>
  <c r="D20" i="30"/>
  <c r="B20" i="30"/>
  <c r="D19" i="30"/>
  <c r="B19" i="30"/>
  <c r="D18" i="30"/>
  <c r="B18" i="30"/>
  <c r="D17" i="30"/>
  <c r="B17" i="30"/>
  <c r="B16" i="30"/>
  <c r="D16" i="30" s="1"/>
  <c r="B15" i="30"/>
  <c r="D15" i="30" s="1"/>
  <c r="B14" i="30"/>
  <c r="D14" i="30" s="1"/>
  <c r="B13" i="30"/>
  <c r="D13" i="30" s="1"/>
  <c r="B12" i="30"/>
  <c r="D12" i="30" s="1"/>
  <c r="B11" i="30"/>
  <c r="D11" i="30" s="1"/>
  <c r="B10" i="30"/>
  <c r="D10" i="30" s="1"/>
  <c r="B9" i="30"/>
  <c r="D9" i="30" s="1"/>
  <c r="B8" i="30"/>
  <c r="D8" i="30" s="1"/>
  <c r="B6" i="30"/>
  <c r="D6" i="30" s="1"/>
  <c r="B5" i="30"/>
  <c r="D5" i="30" s="1"/>
  <c r="B4" i="30"/>
  <c r="D4" i="30" s="1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B3" i="29"/>
  <c r="D3" i="29" s="1"/>
  <c r="K101" i="29" s="1"/>
  <c r="B4" i="29"/>
  <c r="B109" i="29"/>
  <c r="B110" i="29"/>
  <c r="B111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D3" i="39" l="1"/>
  <c r="D10" i="39"/>
  <c r="D51" i="36"/>
  <c r="K52" i="36"/>
  <c r="K132" i="29"/>
  <c r="K61" i="35"/>
  <c r="K51" i="30"/>
  <c r="K52" i="41"/>
  <c r="K51" i="39" l="1"/>
</calcChain>
</file>

<file path=xl/sharedStrings.xml><?xml version="1.0" encoding="utf-8"?>
<sst xmlns="http://schemas.openxmlformats.org/spreadsheetml/2006/main" count="2634" uniqueCount="292">
  <si>
    <t>Atkinson Hall 145</t>
  </si>
  <si>
    <t xml:space="preserve">Machine </t>
  </si>
  <si>
    <t>$/Unit</t>
  </si>
  <si>
    <t>Unit Amount</t>
  </si>
  <si>
    <t>Cost</t>
  </si>
  <si>
    <t>Payer</t>
  </si>
  <si>
    <t>Notes</t>
  </si>
  <si>
    <t>Course Number</t>
  </si>
  <si>
    <t>Date</t>
  </si>
  <si>
    <t>Transaction Number</t>
  </si>
  <si>
    <t>Processed By</t>
  </si>
  <si>
    <t>Status</t>
  </si>
  <si>
    <t>Select Machine</t>
  </si>
  <si>
    <t>Total</t>
  </si>
  <si>
    <t xml:space="preserve">Art Building 123 </t>
  </si>
  <si>
    <t>Time</t>
  </si>
  <si>
    <t>Prusa</t>
  </si>
  <si>
    <t>Ryan Atkinson</t>
  </si>
  <si>
    <t>N/A</t>
  </si>
  <si>
    <t>Rohan</t>
  </si>
  <si>
    <t>Closed</t>
  </si>
  <si>
    <t>Formlabs</t>
  </si>
  <si>
    <t>Travis Barrilleaux</t>
  </si>
  <si>
    <t>Colin</t>
  </si>
  <si>
    <t>Skylar Vollmer</t>
  </si>
  <si>
    <t>ARCH5000</t>
  </si>
  <si>
    <t>personal</t>
  </si>
  <si>
    <t>Calcea</t>
  </si>
  <si>
    <t>Jodi Keelen</t>
  </si>
  <si>
    <t>ARCH5004</t>
  </si>
  <si>
    <t>Ian</t>
  </si>
  <si>
    <t>Ian Murillo</t>
  </si>
  <si>
    <t>Scottie</t>
  </si>
  <si>
    <t>Katharina Wang</t>
  </si>
  <si>
    <t>ART 7000</t>
  </si>
  <si>
    <t>Conrad</t>
  </si>
  <si>
    <t>ARCH 5000</t>
  </si>
  <si>
    <t>Lauren</t>
  </si>
  <si>
    <t>Tom Sofranko</t>
  </si>
  <si>
    <t>Faculty</t>
  </si>
  <si>
    <t>Heidi</t>
  </si>
  <si>
    <t>Calcea Johnson</t>
  </si>
  <si>
    <t>Raygan Werline</t>
  </si>
  <si>
    <t>Mehrnaz Pasokhi</t>
  </si>
  <si>
    <t>ARCH 7003</t>
  </si>
  <si>
    <t>Michael</t>
  </si>
  <si>
    <t>ARCH 4993</t>
  </si>
  <si>
    <t>Devin</t>
  </si>
  <si>
    <t>Thomas Safranko</t>
  </si>
  <si>
    <t>Sarah</t>
  </si>
  <si>
    <t xml:space="preserve">Jessica Peres </t>
  </si>
  <si>
    <t>Ana Paula</t>
  </si>
  <si>
    <t>Haleigh Shelton</t>
  </si>
  <si>
    <t>ID4758</t>
  </si>
  <si>
    <t xml:space="preserve">personal </t>
  </si>
  <si>
    <t>Michael L Creel</t>
  </si>
  <si>
    <t>Gabriella L Duvall</t>
  </si>
  <si>
    <t>Trey Meyer</t>
  </si>
  <si>
    <t>ARCH2001</t>
  </si>
  <si>
    <t>Elorm Agbeka</t>
  </si>
  <si>
    <t>ARCH7003</t>
  </si>
  <si>
    <t>Tucker Wascome</t>
  </si>
  <si>
    <t>ARCH3001</t>
  </si>
  <si>
    <t>Skylar Vollmar</t>
  </si>
  <si>
    <t>Personal</t>
  </si>
  <si>
    <t>ARCH70003</t>
  </si>
  <si>
    <t>ARCH 70003</t>
  </si>
  <si>
    <t>Jacob</t>
  </si>
  <si>
    <t>mohammad yamin</t>
  </si>
  <si>
    <t>Maryam Pirasteh</t>
  </si>
  <si>
    <t>Sandra Myder</t>
  </si>
  <si>
    <t>Colin Herke</t>
  </si>
  <si>
    <t>Laura Sulzer</t>
  </si>
  <si>
    <t>ARCH 4003</t>
  </si>
  <si>
    <t>Saeid Jahromi</t>
  </si>
  <si>
    <t>Madi</t>
  </si>
  <si>
    <t xml:space="preserve">Layana Hayes </t>
  </si>
  <si>
    <t>ARCH4003</t>
  </si>
  <si>
    <t>Baylen Sass</t>
  </si>
  <si>
    <t>Marissa Drummond</t>
  </si>
  <si>
    <t>Kiran</t>
  </si>
  <si>
    <t>Mallory Lingberg</t>
  </si>
  <si>
    <t>Harrison Boru</t>
  </si>
  <si>
    <t>Mallory Lindberg</t>
  </si>
  <si>
    <t>Eric Wang</t>
  </si>
  <si>
    <t>ARCH50005</t>
  </si>
  <si>
    <t>Ana Cuadros</t>
  </si>
  <si>
    <t>Forest CNC</t>
  </si>
  <si>
    <t xml:space="preserve">ID </t>
  </si>
  <si>
    <t>ARCH 50005</t>
  </si>
  <si>
    <t>50% Discount</t>
  </si>
  <si>
    <t>Madeline Altman</t>
  </si>
  <si>
    <t>Kat Wang</t>
  </si>
  <si>
    <t>ARCH 2001</t>
  </si>
  <si>
    <t>Gabrielle Bergeron</t>
  </si>
  <si>
    <t>Aldina Graff</t>
  </si>
  <si>
    <t>ID 4756</t>
  </si>
  <si>
    <t>Sarah Harder</t>
  </si>
  <si>
    <t>Alexandra O'Neal</t>
  </si>
  <si>
    <t>HNRS 2100</t>
  </si>
  <si>
    <t>Zoe Lee</t>
  </si>
  <si>
    <t>ARCH 3000</t>
  </si>
  <si>
    <t>ARCH 3001</t>
  </si>
  <si>
    <t>Alexander Dunaway</t>
  </si>
  <si>
    <t>IE 4756</t>
  </si>
  <si>
    <t>Sandy Myers</t>
  </si>
  <si>
    <t>ARCH 5004</t>
  </si>
  <si>
    <t>David Scully</t>
  </si>
  <si>
    <t>Mohammad Yamin</t>
  </si>
  <si>
    <t>Hazel Hogan</t>
  </si>
  <si>
    <t>Ana Portugal</t>
  </si>
  <si>
    <t>Caroline Stetson</t>
  </si>
  <si>
    <t>Arch3001</t>
  </si>
  <si>
    <t>Caitlin Nguyen</t>
  </si>
  <si>
    <t>Arch 7003</t>
  </si>
  <si>
    <t>Elorm F Agbeka</t>
  </si>
  <si>
    <t>Maria Vidaurreta</t>
  </si>
  <si>
    <t>Isabelle Nguyen</t>
  </si>
  <si>
    <t>Ava Szczapanski</t>
  </si>
  <si>
    <t>Isabella Keeley</t>
  </si>
  <si>
    <t>DMAE7120</t>
  </si>
  <si>
    <t>Cooper Ancale</t>
  </si>
  <si>
    <t>LA4201</t>
  </si>
  <si>
    <t>Layne Davis</t>
  </si>
  <si>
    <t>Not showing up in transcations, so no transNumber. Double checked with student, and was charged on their end</t>
  </si>
  <si>
    <t>Cody Landry</t>
  </si>
  <si>
    <t>Alyssa Dao</t>
  </si>
  <si>
    <t>Joseph Cochran</t>
  </si>
  <si>
    <t>ID4756</t>
  </si>
  <si>
    <t>Katelyn Bussey</t>
  </si>
  <si>
    <t>Christos Baos</t>
  </si>
  <si>
    <t>LA7051</t>
  </si>
  <si>
    <t>Joseph Hargis</t>
  </si>
  <si>
    <t>Used own filament, 30% of original price</t>
  </si>
  <si>
    <t>ARCH5001</t>
  </si>
  <si>
    <t>Camden Nickens</t>
  </si>
  <si>
    <t>Webb Mallet</t>
  </si>
  <si>
    <t>Paid w/ Amy Andalib TigerCash</t>
  </si>
  <si>
    <t>Srinidhi Samaluru</t>
  </si>
  <si>
    <t>LA</t>
  </si>
  <si>
    <t>Darrius Anthony</t>
  </si>
  <si>
    <t>Moon Amick</t>
  </si>
  <si>
    <t>Sonnet Mandell</t>
  </si>
  <si>
    <t>Joseph Graham Hargis</t>
  </si>
  <si>
    <t>William Fauning</t>
  </si>
  <si>
    <t>Hameed Gucci</t>
  </si>
  <si>
    <t>Mickala Vogt</t>
  </si>
  <si>
    <t>Joselinne Gabriel</t>
  </si>
  <si>
    <t>Amy Andalib</t>
  </si>
  <si>
    <t>Harrison's model, but split cost. 1/2</t>
  </si>
  <si>
    <t>^^^2/2</t>
  </si>
  <si>
    <t>Devin Newton</t>
  </si>
  <si>
    <t>Raise3D</t>
  </si>
  <si>
    <t>Vanessa Rivas</t>
  </si>
  <si>
    <t>Aaron Mire</t>
  </si>
  <si>
    <t>Formlabs Form 3</t>
  </si>
  <si>
    <t>Madison</t>
  </si>
  <si>
    <t>Christopher Martin</t>
  </si>
  <si>
    <t>Personal material 70% discount</t>
  </si>
  <si>
    <t>ARCH3002</t>
  </si>
  <si>
    <t>Personal Material 70% discount</t>
  </si>
  <si>
    <t>ARCH 3002</t>
  </si>
  <si>
    <t>ARCH 7006</t>
  </si>
  <si>
    <t>ARCH3003</t>
  </si>
  <si>
    <t>Emiliano</t>
  </si>
  <si>
    <t>Andrew Rasbeary</t>
  </si>
  <si>
    <t>Samuel Becker</t>
  </si>
  <si>
    <t>ARCH 4002</t>
  </si>
  <si>
    <t>Fran</t>
  </si>
  <si>
    <t>ID 3753</t>
  </si>
  <si>
    <t>Caroline Lavern</t>
  </si>
  <si>
    <t>ARCH 5001</t>
  </si>
  <si>
    <t>Cecilia F Johnson</t>
  </si>
  <si>
    <t>ARCH4002</t>
  </si>
  <si>
    <t>Susan</t>
  </si>
  <si>
    <t>Caitlin McLin</t>
  </si>
  <si>
    <t>ID 1712</t>
  </si>
  <si>
    <t>Ava Stout</t>
  </si>
  <si>
    <t>Alayha Jackson</t>
  </si>
  <si>
    <t>Anna Stevens</t>
  </si>
  <si>
    <t>ID1712</t>
  </si>
  <si>
    <t>Will</t>
  </si>
  <si>
    <t>Samantha Swett</t>
  </si>
  <si>
    <t>Sophia Robichaux</t>
  </si>
  <si>
    <t>Savannah St. Pierre</t>
  </si>
  <si>
    <t>Hina Luong</t>
  </si>
  <si>
    <t>Breeley Calderon</t>
  </si>
  <si>
    <t>Madesyn Cormier</t>
  </si>
  <si>
    <t>Alana Jones</t>
  </si>
  <si>
    <t>ARCH 2005</t>
  </si>
  <si>
    <t>Rheign Myers</t>
  </si>
  <si>
    <t>Ava Williams</t>
  </si>
  <si>
    <t>Kenadee Reynolds</t>
  </si>
  <si>
    <t>ian</t>
  </si>
  <si>
    <t>Elizabeth Henry</t>
  </si>
  <si>
    <t>Lily Bacas</t>
  </si>
  <si>
    <t>Eliana Bufkin</t>
  </si>
  <si>
    <t>Keagan Lobello</t>
  </si>
  <si>
    <t>Katelyn Tardiff</t>
  </si>
  <si>
    <t>Jordyn Giddieons</t>
  </si>
  <si>
    <t>Gabrielle Hardman</t>
  </si>
  <si>
    <t>Andrea Tran</t>
  </si>
  <si>
    <t>Anna Steven</t>
  </si>
  <si>
    <t>Nevaeh Baker</t>
  </si>
  <si>
    <t>Danasia Powell</t>
  </si>
  <si>
    <t>Christina Walker</t>
  </si>
  <si>
    <t>ID 1217</t>
  </si>
  <si>
    <t>Open</t>
  </si>
  <si>
    <t>Gianna Cullen</t>
  </si>
  <si>
    <t>Abby Malbreaux</t>
  </si>
  <si>
    <t xml:space="preserve">Caitlin Mclin </t>
  </si>
  <si>
    <t xml:space="preserve">Luca Passalacqua </t>
  </si>
  <si>
    <t>Kristen Cunningham</t>
  </si>
  <si>
    <t>Alexandra Garner</t>
  </si>
  <si>
    <t>Savannah Stpierre</t>
  </si>
  <si>
    <t xml:space="preserve">Ryan Atkinson </t>
  </si>
  <si>
    <t>Gracie Morgan</t>
  </si>
  <si>
    <t>Logan Bereziuk</t>
  </si>
  <si>
    <t>Russell Wells</t>
  </si>
  <si>
    <t>Caleb Sherman</t>
  </si>
  <si>
    <t>Alexandra Pitre</t>
  </si>
  <si>
    <t>LA 2101</t>
  </si>
  <si>
    <t>Keith Neal</t>
  </si>
  <si>
    <t>naveah baker</t>
  </si>
  <si>
    <t>Hunter Morales</t>
  </si>
  <si>
    <t>Isabella Moody</t>
  </si>
  <si>
    <t>Josh Ribbeck</t>
  </si>
  <si>
    <t>Carlisle Quakenbos</t>
  </si>
  <si>
    <t>Naomi Guerin</t>
  </si>
  <si>
    <t>Cecilia Lopez-Garcia</t>
  </si>
  <si>
    <t xml:space="preserve">Liana Williams </t>
  </si>
  <si>
    <t>Lawson Hebert</t>
  </si>
  <si>
    <t>Gretchen Manning</t>
  </si>
  <si>
    <t>Kensli Brazzel</t>
  </si>
  <si>
    <t>Jordyn Giddiens</t>
  </si>
  <si>
    <t>Michaela Scarano</t>
  </si>
  <si>
    <t>Brennen Heno</t>
  </si>
  <si>
    <t xml:space="preserve"> Alessandro Rondon</t>
  </si>
  <si>
    <t>ARCH 2101</t>
  </si>
  <si>
    <t>Matthew Alambaugh</t>
  </si>
  <si>
    <t>ARCH2121</t>
  </si>
  <si>
    <t>Henry James</t>
  </si>
  <si>
    <t>LA2101</t>
  </si>
  <si>
    <t>Silent McCarthy</t>
  </si>
  <si>
    <t>Mia Boggs</t>
  </si>
  <si>
    <t>Emerson Delk</t>
  </si>
  <si>
    <t>Meredith Mckinnie</t>
  </si>
  <si>
    <t>Clay Moody</t>
  </si>
  <si>
    <t>Martin Jennings</t>
  </si>
  <si>
    <t>LA 2002</t>
  </si>
  <si>
    <t>Jessica Peres</t>
  </si>
  <si>
    <t>ARCH 7004</t>
  </si>
  <si>
    <t>Jordyn Anderson</t>
  </si>
  <si>
    <t>Hayden Tollier</t>
  </si>
  <si>
    <t>Christian Hardy</t>
  </si>
  <si>
    <t>Nathaniel Wrobel</t>
  </si>
  <si>
    <t>ENG4202</t>
  </si>
  <si>
    <t>Konnor Burkes</t>
  </si>
  <si>
    <t>Joey Tipton</t>
  </si>
  <si>
    <t>Maria Torres</t>
  </si>
  <si>
    <t>Nguyen</t>
  </si>
  <si>
    <t>Mahi</t>
  </si>
  <si>
    <t>Ruben</t>
  </si>
  <si>
    <t>Cage</t>
  </si>
  <si>
    <t>Deliberty</t>
  </si>
  <si>
    <t>RangelAllement</t>
  </si>
  <si>
    <t>Koochaki</t>
  </si>
  <si>
    <t>Pasokhi</t>
  </si>
  <si>
    <t>Mills</t>
  </si>
  <si>
    <t>Ramos Ramirez</t>
  </si>
  <si>
    <t>Spivak</t>
  </si>
  <si>
    <t>Lewis</t>
  </si>
  <si>
    <t>Wang</t>
  </si>
  <si>
    <t>Guidroz</t>
  </si>
  <si>
    <t>Woodall</t>
  </si>
  <si>
    <t>Frampton</t>
  </si>
  <si>
    <t>Guerin</t>
  </si>
  <si>
    <t>Mondragon</t>
  </si>
  <si>
    <t>Rangeleyallemen</t>
  </si>
  <si>
    <t>Latiolais</t>
  </si>
  <si>
    <t xml:space="preserve">Wang </t>
  </si>
  <si>
    <t>Rivas</t>
  </si>
  <si>
    <t>Beech</t>
  </si>
  <si>
    <t>Yeboah</t>
  </si>
  <si>
    <t>sdfgsdf</t>
  </si>
  <si>
    <t>Machine</t>
  </si>
  <si>
    <t>Staff</t>
  </si>
  <si>
    <t>Ultimaker</t>
  </si>
  <si>
    <t>Markforged</t>
  </si>
  <si>
    <t>Formlabs Fuse 1+</t>
  </si>
  <si>
    <t>Plasma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</si>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</sst>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/d/yyyy\ h:mm:ss"/>
    <numFmt numFmtId="165" formatCode="_([$$-409]* #,##0.00_);_([$$-409]* \(#,##0.00\);_([$$-409]* &quot;-&quot;??_);_(@_)"/>
    <numFmt numFmtId="166" formatCode="&quot;$&quot;#,##0.00"/>
    <numFmt numFmtId="167" formatCode="[$-409]m/d/yy\ h:mm\ AM/PM;@"/>
    <numFmt numFmtId="168" formatCode="m/d/yyyy;@"/>
  </numFmts>
  <fonts count="14">
    <font>
      <sz val="11"/>
      <color theme="1"/>
      <name val="Calibri"/>
      <family val="2"/>
      <scheme val="minor"/>
    </font>
    <font>
      <sz val="11"/>
      <color theme="1"/>
      <name val="Proxima Nova"/>
      <family val="3"/>
    </font>
    <font>
      <b/>
      <sz val="12"/>
      <color rgb="FF000000"/>
      <name val="Proxima Nova"/>
      <family val="3"/>
    </font>
    <font>
      <sz val="8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8"/>
      <color theme="1"/>
      <name val="Aptos"/>
      <family val="2"/>
    </font>
    <font>
      <sz val="11"/>
      <color theme="1"/>
      <name val="Aptos"/>
      <family val="2"/>
    </font>
    <font>
      <b/>
      <sz val="12"/>
      <color theme="0"/>
      <name val="Aptos"/>
      <family val="2"/>
    </font>
    <font>
      <b/>
      <sz val="11"/>
      <color theme="0"/>
      <name val="Aptos"/>
      <family val="2"/>
    </font>
    <font>
      <sz val="11"/>
      <color theme="1"/>
      <name val="Calibri"/>
      <family val="2"/>
      <scheme val="minor"/>
    </font>
    <font>
      <sz val="12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theme="9" tint="0.39997558519241921"/>
        <bgColor rgb="FFF6B26B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166" fontId="1" fillId="0" borderId="0" xfId="0" applyNumberFormat="1" applyFont="1"/>
    <xf numFmtId="44" fontId="1" fillId="0" borderId="0" xfId="0" applyNumberFormat="1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44" fontId="9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166" fontId="9" fillId="6" borderId="0" xfId="0" applyNumberFormat="1" applyFont="1" applyFill="1"/>
    <xf numFmtId="166" fontId="9" fillId="7" borderId="0" xfId="0" applyNumberFormat="1" applyFont="1" applyFill="1"/>
    <xf numFmtId="165" fontId="11" fillId="2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left"/>
    </xf>
    <xf numFmtId="166" fontId="9" fillId="6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left"/>
    </xf>
    <xf numFmtId="166" fontId="9" fillId="7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168" fontId="7" fillId="6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68" fontId="7" fillId="7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10" fillId="2" borderId="0" xfId="0" applyNumberFormat="1" applyFont="1" applyFill="1" applyAlignment="1">
      <alignment horizontal="center" vertical="center" wrapText="1"/>
    </xf>
    <xf numFmtId="2" fontId="10" fillId="2" borderId="0" xfId="0" applyNumberFormat="1" applyFont="1" applyFill="1" applyAlignment="1">
      <alignment horizontal="center" vertical="center" wrapText="1"/>
    </xf>
    <xf numFmtId="166" fontId="10" fillId="2" borderId="0" xfId="0" applyNumberFormat="1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left"/>
    </xf>
    <xf numFmtId="2" fontId="5" fillId="7" borderId="0" xfId="0" applyNumberFormat="1" applyFont="1" applyFill="1" applyAlignment="1">
      <alignment horizontal="center" vertical="center"/>
    </xf>
    <xf numFmtId="166" fontId="5" fillId="6" borderId="0" xfId="0" applyNumberFormat="1" applyFont="1" applyFill="1"/>
    <xf numFmtId="2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7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center" vertical="center" wrapText="1"/>
    </xf>
    <xf numFmtId="2" fontId="10" fillId="3" borderId="0" xfId="0" applyNumberFormat="1" applyFont="1" applyFill="1" applyAlignment="1">
      <alignment horizontal="center" vertical="center" wrapText="1"/>
    </xf>
    <xf numFmtId="166" fontId="10" fillId="3" borderId="0" xfId="0" applyNumberFormat="1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66" fontId="5" fillId="6" borderId="0" xfId="0" applyNumberFormat="1" applyFont="1" applyFill="1" applyAlignment="1">
      <alignment horizontal="center"/>
    </xf>
    <xf numFmtId="166" fontId="5" fillId="6" borderId="0" xfId="1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7" fillId="7" borderId="0" xfId="0" quotePrefix="1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13" fillId="6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845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>
          <bgColor theme="0"/>
        </patternFill>
      </fill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&quot;$&quot;#,##0.00"/>
      <fill>
        <patternFill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>
          <bgColor theme="0"/>
        </patternFill>
      </fill>
      <alignment horizontal="left" vertical="bottom" textRotation="0" wrapText="0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outline="0">
        <left style="medium">
          <color rgb="FF000000"/>
        </left>
        <right style="medium">
          <color indexed="64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outline="0">
        <left style="medium">
          <color rgb="FF000000"/>
        </left>
        <right style="medium">
          <color indexed="64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168" formatCode="m/d/yyyy;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&quot;$&quot;#,##0.00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rgb="FFF6B26B"/>
          <bgColor rgb="FFF6B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4CCFA1-109B-40A1-B807-066A99B4DACA}" name="Log_Atkinson14558" displayName="Log_Atkinson14558" comment="Atkinson Building Table" ref="A2:K51" totalsRowCount="1" headerRowDxfId="831" dataDxfId="830" headerRowBorderDxfId="828" tableBorderDxfId="829">
  <autoFilter ref="A2:K5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4B7411B-3224-43C2-974A-C3044EFE9433}" name="Machine " totalsRowLabel="Total" dataDxfId="826" totalsRowDxfId="827"/>
    <tableColumn id="2" xr3:uid="{670394D4-0888-47DA-954A-B1690B9B73FC}" name="$/Unit" dataDxfId="824" totalsRowDxfId="825">
      <calculatedColumnFormula>_xlfn.XLOOKUP(Log_Atkinson14558[[#This Row],[Machine ]], PriceTable[Machine], PriceTable[$/Unit], "")</calculatedColumnFormula>
    </tableColumn>
    <tableColumn id="3" xr3:uid="{2BE10BB7-5E5C-4E21-B5A6-31EA4CB85225}" name="Unit Amount" dataDxfId="822" totalsRowDxfId="823"/>
    <tableColumn id="4" xr3:uid="{9F39EFFD-63E9-47EF-AB9A-CB4F0A849941}" name="Cost" dataDxfId="820" totalsRowDxfId="821">
      <calculatedColumnFormula>IF(OR(Log_Atkinson14558[[#This Row],[Machine ]]="", Log_Atkinson14558[[#This Row],[Unit Amount]]=""), "", IFERROR(MAX(Log_Atkinson14558[[#This Row],[Unit Amount]] * Log_Atkinson14558[[#This Row],[$/Unit]], 3), ""))</calculatedColumnFormula>
    </tableColumn>
    <tableColumn id="5" xr3:uid="{9DDCFF23-F4ED-4AFB-B3DF-69FBFB0B7E29}" name="Payer" dataDxfId="818" totalsRowDxfId="819"/>
    <tableColumn id="6" xr3:uid="{DE385C7E-4719-41BA-B292-449D7B31B487}" name="Notes" dataDxfId="816" totalsRowDxfId="817"/>
    <tableColumn id="7" xr3:uid="{4545703B-B486-4999-A49C-9D93A9915A3D}" name="Course Number" dataDxfId="814" totalsRowDxfId="815"/>
    <tableColumn id="8" xr3:uid="{6FD5BBDB-B22A-4AE6-A93E-10ECF706AFF5}" name="Date" dataDxfId="812" totalsRowDxfId="813"/>
    <tableColumn id="9" xr3:uid="{DD19087A-E7E0-465A-9947-23BE76F5C8A0}" name="Transaction Number" dataDxfId="810" totalsRowDxfId="811"/>
    <tableColumn id="10" xr3:uid="{8E9B2168-3FE5-41D4-93F8-0C4FF0AA5F02}" name="Processed By" dataDxfId="808" totalsRowDxfId="809"/>
    <tableColumn id="11" xr3:uid="{AAA76462-155B-493C-BCDE-C5862A350570}" name="Status" totalsRowFunction="custom" dataDxfId="806" totalsRowDxfId="807">
      <totalsRowFormula>SUBTOTAL(109,Log_Atkinson14558[Cost])</totalsRow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D443B8-99EB-46E0-B30D-454518FEB1A2}" name="Log_Art12379" displayName="Log_Art12379" comment="Art Building Table" ref="A59:K83" totalsRowCount="1" headerRowDxfId="805" dataDxfId="804" headerRowBorderDxfId="802" tableBorderDxfId="803">
  <autoFilter ref="A59:K8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6872FF1-5E0C-4909-98FF-F9FDCD170E27}" name="Machine " totalsRowLabel="Total" totalsRowDxfId="801"/>
    <tableColumn id="2" xr3:uid="{082A9326-48D8-4BD4-95F5-9457A84839C1}" name="$/Unit" totalsRowDxfId="800">
      <calculatedColumnFormula>_xlfn.XLOOKUP(Log_Art12379[[#This Row],[Machine ]], PriceTable[Machine], PriceTable[$/Unit], "")</calculatedColumnFormula>
    </tableColumn>
    <tableColumn id="3" xr3:uid="{1566C121-E376-4200-94AF-327DFFE51079}" name="Unit Amount" totalsRowDxfId="799"/>
    <tableColumn id="4" xr3:uid="{0AA0EDCE-D055-452A-A1A8-9E5EC39A8227}" name="Cost" totalsRowDxfId="798">
      <calculatedColumnFormula>IF(OR(Log_Art12379[[#This Row],[Machine ]]="", Log_Art12379[[#This Row],[Unit Amount]]=""), "", IFERROR(MAX(Log_Art12379[[#This Row],[Unit Amount]] * Log_Art12379[[#This Row],[$/Unit]], 3), ""))</calculatedColumnFormula>
    </tableColumn>
    <tableColumn id="5" xr3:uid="{7332CEDE-ECAA-4365-A802-8AF64B7F5E83}" name="Payer" totalsRowDxfId="797"/>
    <tableColumn id="6" xr3:uid="{CB1F8A8C-05FA-4959-8F7F-BB778513ECF1}" name="Notes" totalsRowDxfId="796"/>
    <tableColumn id="7" xr3:uid="{F0EAD8E7-B76E-44CD-9C1F-F48947DB3681}" name="Course Number" totalsRowDxfId="795"/>
    <tableColumn id="8" xr3:uid="{27BDD89A-6281-4AB6-A800-F17F77A84917}" name="Time" totalsRowDxfId="794"/>
    <tableColumn id="9" xr3:uid="{F9831FD1-F39B-4231-B1D2-A339C8FBF8A8}" name="Transaction Number" totalsRowDxfId="793"/>
    <tableColumn id="10" xr3:uid="{E2A2C6B3-E368-4BE4-88D9-B070E9688651}" name="Processed By" totalsRowDxfId="792"/>
    <tableColumn id="11" xr3:uid="{E0B22C2F-15B2-47D4-9125-403D2FD33639}" name="Status" totalsRowFunction="custom" totalsRowDxfId="791">
      <totalsRowFormula>SUBTOTAL(109,Log_Art12379[Cost])</totalsRow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226155-93B3-49CF-A32B-12FB017854D3}" name="Log_Atkinson1455" displayName="Log_Atkinson1455" comment="Atkinson Building Table" ref="A2:K51" totalsRowCount="1" headerRowDxfId="777" dataDxfId="776" headerRowBorderDxfId="774" tableBorderDxfId="775">
  <autoFilter ref="A2:K5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DAA1249-5ADC-49CC-A9A7-5CB52C45976D}" name="Machine " totalsRowLabel="Total" totalsRowDxfId="773"/>
    <tableColumn id="2" xr3:uid="{16DD3824-8375-4EEB-B02C-AAE05999E9CD}" name="$/Unit" dataDxfId="771" totalsRowDxfId="772">
      <calculatedColumnFormula>_xlfn.XLOOKUP(Log_Atkinson1455[[#This Row],[Machine ]], PriceTable[Machine], PriceTable[$/Unit], "")</calculatedColumnFormula>
    </tableColumn>
    <tableColumn id="3" xr3:uid="{4B0040BA-125C-4EA3-99F0-C30AC440AAFE}" name="Unit Amount" dataDxfId="769" totalsRowDxfId="770"/>
    <tableColumn id="4" xr3:uid="{B835D6E9-9157-4132-9C4B-C751C3A83630}" name="Cost" dataDxfId="767" totalsRowDxfId="768">
      <calculatedColumnFormula>IF(OR(Log_Atkinson1455[[#This Row],[Machine ]]="", Log_Atkinson1455[[#This Row],[Unit Amount]]=""), "", IFERROR(MAX(Log_Atkinson1455[[#This Row],[Unit Amount]] * Log_Atkinson1455[[#This Row],[$/Unit]], 3), ""))</calculatedColumnFormula>
    </tableColumn>
    <tableColumn id="5" xr3:uid="{380F7800-094F-4F74-B1D8-FDB3F8568BA6}" name="Payer" dataDxfId="765" totalsRowDxfId="766"/>
    <tableColumn id="6" xr3:uid="{1FC253EE-CFF8-4F76-980D-9D058EA61C80}" name="Notes" dataDxfId="763" totalsRowDxfId="764"/>
    <tableColumn id="7" xr3:uid="{7FC9C3CF-307D-4F2B-B856-82907F2E84D3}" name="Course Number" dataDxfId="761" totalsRowDxfId="762"/>
    <tableColumn id="8" xr3:uid="{53103D2D-1E32-4F84-BCAD-6FC6DC4ED3BC}" name="Date" dataDxfId="759" totalsRowDxfId="760"/>
    <tableColumn id="9" xr3:uid="{216F0282-CF11-44D0-87D3-1003F131955F}" name="Transaction Number" dataDxfId="757" totalsRowDxfId="758"/>
    <tableColumn id="10" xr3:uid="{4242A502-7104-4F79-BD57-7C8EDAA63E49}" name="Processed By" dataDxfId="755" totalsRowDxfId="756"/>
    <tableColumn id="11" xr3:uid="{F794D771-203D-4B56-846E-62F5D508110C}" name="Status" totalsRowFunction="custom" totalsRowDxfId="754">
      <totalsRowFormula>SUBTOTAL(109,Log_Atkinson1455[Cost])</totalsRow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44974B-0A10-4DB3-85E3-78EF8EE874F2}" name="Log_Art1237" displayName="Log_Art1237" comment="Art Building Table" ref="A59:K83" totalsRowCount="1" headerRowDxfId="753" dataDxfId="752" headerRowBorderDxfId="750" tableBorderDxfId="751">
  <autoFilter ref="A59:K8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4F67241-4658-4123-A45C-94D13E31E478}" name="Machine " totalsRowLabel="Total" totalsRowDxfId="749"/>
    <tableColumn id="2" xr3:uid="{9983A77C-25CE-408F-BDCD-E654B4E6A120}" name="$/Unit" dataDxfId="747" totalsRowDxfId="748">
      <calculatedColumnFormula>_xlfn.XLOOKUP(Log_Art1237[[#This Row],[Machine ]], PriceTable[Machine], PriceTable[$/Unit], "")</calculatedColumnFormula>
    </tableColumn>
    <tableColumn id="3" xr3:uid="{62BC2BD7-3F26-4562-86F0-F38677882ED4}" name="Unit Amount" dataDxfId="745" totalsRowDxfId="746"/>
    <tableColumn id="4" xr3:uid="{9340DF6C-F799-44DE-9B79-8FAB6D4B0F66}" name="Cost" dataDxfId="743" totalsRowDxfId="744">
      <calculatedColumnFormula>IF(OR(Log_Art1237[[#This Row],[Machine ]]="", Log_Art1237[[#This Row],[Unit Amount]]=""), "", IFERROR(MAX(Log_Art1237[[#This Row],[Unit Amount]] * Log_Art1237[[#This Row],[$/Unit]], 3), ""))</calculatedColumnFormula>
    </tableColumn>
    <tableColumn id="5" xr3:uid="{8C34ED5F-CFFE-41EE-AC3C-11B118688009}" name="Payer" dataDxfId="741" totalsRowDxfId="742"/>
    <tableColumn id="6" xr3:uid="{643CCB84-77E2-4FC9-A3C1-3C7EAB02D254}" name="Notes" dataDxfId="739" totalsRowDxfId="740"/>
    <tableColumn id="7" xr3:uid="{0E417A06-636B-466F-9C39-3681DB1AC7D1}" name="Course Number" dataDxfId="737" totalsRowDxfId="738"/>
    <tableColumn id="8" xr3:uid="{199B4336-FD06-4797-89E4-454D7824ADF1}" name="Time" dataDxfId="735" totalsRowDxfId="736"/>
    <tableColumn id="9" xr3:uid="{0555C8C3-5FE1-4B8C-ABBE-8B42BD45B5F1}" name="Transaction Number" dataDxfId="733" totalsRowDxfId="734"/>
    <tableColumn id="10" xr3:uid="{7B570FA8-36CA-4DB2-8205-78751F880E33}" name="Processed By" dataDxfId="731" totalsRowDxfId="732"/>
    <tableColumn id="11" xr3:uid="{66CDEB5B-E6C8-4DB4-BCDD-340199F765D8}" name="Status" totalsRowFunction="custom" dataDxfId="729" totalsRowDxfId="730">
      <totalsRowFormula>SUBTOTAL(109,Log_Art1237[Cost])</totalsRow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A24D84-A460-4A4C-A9EC-608E08C7BFE8}" name="Log_Atkinson14518" displayName="Log_Atkinson14518" comment="Atkinson Building Table" ref="A2:K52" totalsRowCount="1" headerRowDxfId="715" dataDxfId="714" headerRowBorderDxfId="712" tableBorderDxfId="713">
  <autoFilter ref="A2:K51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B884D02-AB12-47A8-9EA0-F54C8A04B812}" name="Machine " totalsRowLabel="Total" dataDxfId="710" totalsRowDxfId="711"/>
    <tableColumn id="2" xr3:uid="{28A71415-9252-4D53-9347-D42394139928}" name="$/Unit" dataDxfId="708" totalsRowDxfId="709">
      <calculatedColumnFormula>_xlfn.XLOOKUP(Log_Atkinson14518[[#This Row],[Machine ]], PriceTable[Machine], PriceTable[$/Unit], "")</calculatedColumnFormula>
    </tableColumn>
    <tableColumn id="3" xr3:uid="{9B278C4C-2123-4E88-8C45-26472BBBB501}" name="Unit Amount" dataDxfId="706" totalsRowDxfId="707"/>
    <tableColumn id="4" xr3:uid="{C19FBEFE-5D2A-43F7-90F5-67D247E0DF1D}" name="Cost" dataDxfId="704" totalsRowDxfId="705">
      <calculatedColumnFormula>IF(OR(Log_Atkinson14518[[#This Row],[Machine ]]="", Log_Atkinson14518[[#This Row],[Unit Amount]]=""), "", IFERROR(MAX(Log_Atkinson14518[[#This Row],[Unit Amount]] * Log_Atkinson14518[[#This Row],[$/Unit]], 3), ""))</calculatedColumnFormula>
    </tableColumn>
    <tableColumn id="5" xr3:uid="{039F2124-5707-419F-AFCE-8D6253AD1995}" name="Payer" dataDxfId="702" totalsRowDxfId="703"/>
    <tableColumn id="6" xr3:uid="{DB8358FE-DE95-417D-9765-E44CDBB7BFA9}" name="Notes" dataDxfId="700" totalsRowDxfId="701"/>
    <tableColumn id="7" xr3:uid="{FD1469BF-22BE-4CE1-B5C9-C440C9F0EA4A}" name="Course Number" dataDxfId="698" totalsRowDxfId="699"/>
    <tableColumn id="8" xr3:uid="{745AE239-4E7F-4AED-B4C0-063FB14B0428}" name="Date" dataDxfId="696" totalsRowDxfId="697"/>
    <tableColumn id="9" xr3:uid="{A5B2CC81-CBB5-49C4-8FF0-BEDBA3AAA1BF}" name="Transaction Number" dataDxfId="694" totalsRowDxfId="695">
      <calculatedColumnFormula>ROW() - ROW(Log_Atkinson14518[[#Headers],[Transaction Number]]) + 24</calculatedColumnFormula>
    </tableColumn>
    <tableColumn id="10" xr3:uid="{C4D9213E-D6CF-4771-9117-825EEBB0EE61}" name="Processed By" dataDxfId="692" totalsRowDxfId="693"/>
    <tableColumn id="11" xr3:uid="{06FDC246-1E9D-4787-9128-DD978CCADCEF}" name="Status" totalsRowFunction="custom" dataDxfId="690" totalsRowDxfId="691">
      <totalsRowFormula>SUBTOTAL(109,Log_Atkinson14518[Cost])</totalsRow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44788D5-3644-4200-B3F0-67DC66385CB7}" name="Log_Art12319" displayName="Log_Art12319" comment="Art Building Table" ref="A60:K84" totalsRowCount="1" headerRowDxfId="689" dataDxfId="688" headerRowBorderDxfId="686" tableBorderDxfId="687">
  <autoFilter ref="A60:K83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1AB04D7-09AF-4B99-B7A6-60F80281A450}" name="Machine " totalsRowLabel="Total" dataDxfId="684" totalsRowDxfId="685"/>
    <tableColumn id="2" xr3:uid="{6F8A9940-7BC8-4523-99DE-2857FDE6A4D0}" name="$/Unit" dataDxfId="682" totalsRowDxfId="683">
      <calculatedColumnFormula>_xlfn.XLOOKUP(Log_Art12319[[#This Row],[Machine ]], PriceTable[Machine], PriceTable[$/Unit], "")</calculatedColumnFormula>
    </tableColumn>
    <tableColumn id="3" xr3:uid="{F03D20ED-9018-484D-9361-97C3891EDD37}" name="Unit Amount" dataDxfId="680" totalsRowDxfId="681"/>
    <tableColumn id="4" xr3:uid="{939FC547-E70F-4CFB-9A9E-C2A0CC99D6C7}" name="Cost" dataDxfId="678" totalsRowDxfId="679">
      <calculatedColumnFormula>IF(OR(Log_Art12319[[#This Row],[Machine ]]="", Log_Art12319[[#This Row],[Unit Amount]]=""), "", IFERROR(MAX(Log_Art12319[[#This Row],[Unit Amount]] * Log_Art12319[[#This Row],[$/Unit]], 3), ""))</calculatedColumnFormula>
    </tableColumn>
    <tableColumn id="5" xr3:uid="{602F475C-F4CC-42E8-A663-93F68C64D5DA}" name="Payer" dataDxfId="676" totalsRowDxfId="677"/>
    <tableColumn id="6" xr3:uid="{A96D04F5-0873-40EC-A010-1B317528A5FA}" name="Notes" dataDxfId="674" totalsRowDxfId="675"/>
    <tableColumn id="7" xr3:uid="{6D0C0032-1041-41DA-AEF7-224805D0A3A5}" name="Course Number" dataDxfId="672" totalsRowDxfId="673"/>
    <tableColumn id="8" xr3:uid="{80ECC84C-9AFC-4257-9660-484B8AB435AF}" name="Time" dataDxfId="670" totalsRowDxfId="671"/>
    <tableColumn id="9" xr3:uid="{8F1D9873-9046-4536-BD2F-EE748F7412CD}" name="Transaction Number" dataDxfId="668" totalsRowDxfId="669"/>
    <tableColumn id="10" xr3:uid="{137BA6D3-90E8-4F7E-953C-943682C5E1A8}" name="Processed By" dataDxfId="666" totalsRowDxfId="667"/>
    <tableColumn id="11" xr3:uid="{DC01CA71-265B-4EC1-8D0A-AD9B301564AD}" name="Status" totalsRowFunction="custom" dataDxfId="664" totalsRowDxfId="665">
      <totalsRowFormula>SUBTOTAL(109,Log_Art12319[Cost])</totalsRow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F92494A-E2E4-4126-AE14-3826CD44DA08}" name="Log_Atkinson14520" displayName="Log_Atkinson14520" comment="Atkinson Building Table" ref="A2:K65" totalsRowCount="1" headerRowDxfId="651" dataDxfId="650" headerRowBorderDxfId="648" tableBorderDxfId="649">
  <autoFilter ref="A2:K64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055D9E0-EF72-46E2-8BCF-E8361D20EA9F}" name="Machine " totalsRowLabel="Total" dataDxfId="646" totalsRowDxfId="647"/>
    <tableColumn id="2" xr3:uid="{24131A0D-61AF-4E3C-81E6-16B59F79936A}" name="$/Unit" dataDxfId="644" totalsRowDxfId="645">
      <calculatedColumnFormula>_xlfn.XLOOKUP(Log_Atkinson14520[[#This Row],[Machine ]], PriceTable[Machine], PriceTable[$/Unit], "")</calculatedColumnFormula>
    </tableColumn>
    <tableColumn id="3" xr3:uid="{15CE8ADD-AB4F-4804-8A08-EC4A78CFB262}" name="Unit Amount" dataDxfId="642" totalsRowDxfId="643"/>
    <tableColumn id="4" xr3:uid="{AC185E7A-8E4C-4893-8436-6BD46C023CD6}" name="Cost" dataDxfId="640" totalsRowDxfId="641">
      <calculatedColumnFormula>IF(OR(Log_Atkinson14520[[#This Row],[Machine ]]="", Log_Atkinson14520[[#This Row],[Unit Amount]]=""), "", IFERROR(MAX(Log_Atkinson14520[[#This Row],[Unit Amount]] * Log_Atkinson14520[[#This Row],[$/Unit]], 3), ""))</calculatedColumnFormula>
    </tableColumn>
    <tableColumn id="5" xr3:uid="{EDE11588-2193-4946-AA28-FA9D056F46C7}" name="Payer" dataDxfId="638" totalsRowDxfId="639"/>
    <tableColumn id="6" xr3:uid="{8F79057D-9B76-4E64-BB0E-734F9EE5BB62}" name="Notes" dataDxfId="636" totalsRowDxfId="637"/>
    <tableColumn id="7" xr3:uid="{EF5EF317-A937-4186-A0CA-A5ADB6DF0C10}" name="Course Number" dataDxfId="634" totalsRowDxfId="635"/>
    <tableColumn id="8" xr3:uid="{EF8BB78D-957E-4FED-8C26-3E88D28ADF8C}" name="Date" dataDxfId="632" totalsRowDxfId="633"/>
    <tableColumn id="9" xr3:uid="{3D3742BC-5A2B-4E49-95C7-721D228FA078}" name="Transaction Number" dataDxfId="630" totalsRowDxfId="631"/>
    <tableColumn id="10" xr3:uid="{541FC095-5DA0-44B1-95D9-BC08636E1907}" name="Processed By" dataDxfId="628" totalsRowDxfId="629"/>
    <tableColumn id="11" xr3:uid="{2B98CAC1-ED53-4B91-BDA5-8DBD0B7BC3A9}" name="Status" totalsRowFunction="custom" dataDxfId="626" totalsRowDxfId="627">
      <totalsRowFormula>SUBTOTAL(109,Log_Atkinson14520[Cost])</totalsRow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F25B428-2653-48FD-8C61-51E7F19ADEE2}" name="Log_Art12321" displayName="Log_Art12321" comment="Art Building Table" ref="A73:K97" totalsRowCount="1" headerRowDxfId="625" dataDxfId="624" headerRowBorderDxfId="622" tableBorderDxfId="623">
  <autoFilter ref="A73:K96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C9820A6-6C35-4BD6-81A2-8728E834F687}" name="Machine " totalsRowLabel="Total" dataDxfId="620" totalsRowDxfId="621"/>
    <tableColumn id="2" xr3:uid="{B4B17189-B89A-48B7-B4EA-A1E0E1B2FF43}" name="$/Unit" dataDxfId="618" totalsRowDxfId="619">
      <calculatedColumnFormula>_xlfn.XLOOKUP(Log_Art12321[[#This Row],[Machine ]], PriceTable[Machine], PriceTable[$/Unit], "")</calculatedColumnFormula>
    </tableColumn>
    <tableColumn id="3" xr3:uid="{C8B6F02D-2AEA-40E9-A962-E072C52FC8C5}" name="Unit Amount" dataDxfId="616" totalsRowDxfId="617"/>
    <tableColumn id="4" xr3:uid="{B4F4ACC0-E2F7-446D-AFFF-A8040551C916}" name="Cost" dataDxfId="614" totalsRowDxfId="615">
      <calculatedColumnFormula>IF(OR(Log_Art12321[[#This Row],[Machine ]]="", Log_Art12321[[#This Row],[Unit Amount]]=""), "", IFERROR(MAX(Log_Art12321[[#This Row],[Unit Amount]] * Log_Art12321[[#This Row],[$/Unit]], 3), ""))</calculatedColumnFormula>
    </tableColumn>
    <tableColumn id="5" xr3:uid="{D7889B53-CA46-429C-9CE4-0F71833F096F}" name="Payer" dataDxfId="612" totalsRowDxfId="613"/>
    <tableColumn id="6" xr3:uid="{00A98343-FF19-4A64-B678-9EF0C9566F6F}" name="Notes" dataDxfId="610" totalsRowDxfId="611"/>
    <tableColumn id="7" xr3:uid="{1F3C7B29-5E97-4964-A338-E062FC4A26B5}" name="Course Number" dataDxfId="608" totalsRowDxfId="609"/>
    <tableColumn id="8" xr3:uid="{D71CB31A-F1A3-4DDF-B70E-4E9F39EDD87B}" name="Time" dataDxfId="606" totalsRowDxfId="607"/>
    <tableColumn id="9" xr3:uid="{501EB6A6-4C5A-43E9-B01C-B97D45DAC3AF}" name="Transaction Number" dataDxfId="604" totalsRowDxfId="605"/>
    <tableColumn id="10" xr3:uid="{4DAD0FA4-ED4B-498F-A613-D37F0A32E3DA}" name="Processed By" dataDxfId="602" totalsRowDxfId="603"/>
    <tableColumn id="11" xr3:uid="{3E352E71-DFC1-49AC-BE41-41BFC92F8F21}" name="Status" totalsRowFunction="custom" dataDxfId="600" totalsRowDxfId="601">
      <totalsRowFormula>SUBTOTAL(109,Log_Art12321[Cost])</totalsRowFormula>
    </tableColumn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6241651-0F1C-4DEB-8249-7E61F744B034}" name="Log_Atkinson14522" displayName="Log_Atkinson14522" comment="Atkinson Building Table" ref="A2:K71" totalsRowCount="1" headerRowDxfId="587" dataDxfId="586" headerRowBorderDxfId="584" tableBorderDxfId="585">
  <autoFilter ref="A2:K7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A2F7CFB-54B7-413C-BD77-ECE98A5EF793}" name="Machine " totalsRowLabel="Total" dataDxfId="582" totalsRowDxfId="583"/>
    <tableColumn id="2" xr3:uid="{C5544885-7E53-4F2E-BD9F-CDCA23C34D57}" name="$/Unit" dataDxfId="580" totalsRowDxfId="581">
      <calculatedColumnFormula>_xlfn.XLOOKUP(Log_Atkinson14522[[#This Row],[Machine ]], PriceTable[Machine], PriceTable[$/Unit], "")</calculatedColumnFormula>
    </tableColumn>
    <tableColumn id="3" xr3:uid="{92A67E87-91C0-4B06-8805-EB7FC33E5175}" name="Unit Amount" dataDxfId="578" totalsRowDxfId="579"/>
    <tableColumn id="4" xr3:uid="{6314B12B-4B94-40BD-AF9B-DAE1648333FB}" name="Cost" dataDxfId="576" totalsRowDxfId="577">
      <calculatedColumnFormula>IF(OR(Log_Atkinson14522[[#This Row],[Machine ]]="", Log_Atkinson14522[[#This Row],[Unit Amount]]=""), "", IFERROR(MAX(Log_Atkinson14522[[#This Row],[Unit Amount]] * Log_Atkinson14522[[#This Row],[$/Unit]], 3), ""))</calculatedColumnFormula>
    </tableColumn>
    <tableColumn id="5" xr3:uid="{C67DBCB4-0399-49C1-B795-83FFD9C97F07}" name="Payer" dataDxfId="574" totalsRowDxfId="575"/>
    <tableColumn id="6" xr3:uid="{D262753C-C305-4D54-9F17-210A3BCD49B8}" name="Notes" dataDxfId="572" totalsRowDxfId="573"/>
    <tableColumn id="7" xr3:uid="{A9A07917-C7AA-40BB-92A3-B8EEB06C9502}" name="Course Number" dataDxfId="570" totalsRowDxfId="571"/>
    <tableColumn id="8" xr3:uid="{000A4D3F-470F-40ED-BDEC-E2F462428ECC}" name="Date" dataDxfId="568" totalsRowDxfId="569"/>
    <tableColumn id="9" xr3:uid="{3BFF8D4D-4E55-4C54-8B6B-412FDDA1D508}" name="Transaction Number" dataDxfId="566" totalsRowDxfId="567"/>
    <tableColumn id="10" xr3:uid="{B81979F3-DB61-435F-AFFD-B1D9250B5FCC}" name="Processed By" dataDxfId="564" totalsRowDxfId="565"/>
    <tableColumn id="11" xr3:uid="{CE2BDBEA-1A76-4167-865B-3C6ACD3CFCB8}" name="Status" totalsRowFunction="custom" dataDxfId="562" totalsRowDxfId="563">
      <totalsRowFormula>SUBTOTAL(109,Log_Atkinson14522[Cost])</totalsRow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8DCEDFF-703B-431F-8632-DFBE5E536E88}" name="Log_Art12323" displayName="Log_Art12323" comment="Art Building Table" ref="A79:K103" totalsRowCount="1" headerRowDxfId="561" dataDxfId="560" headerRowBorderDxfId="558" tableBorderDxfId="559">
  <autoFilter ref="A79:K10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C0DA6D2-90E0-40FD-BF90-8084A3B97202}" name="Machine " totalsRowLabel="Total" dataDxfId="556" totalsRowDxfId="557"/>
    <tableColumn id="2" xr3:uid="{CF2B0CFA-13F7-4914-8E71-41F7C75948E4}" name="$/Unit" dataDxfId="554" totalsRowDxfId="555">
      <calculatedColumnFormula>_xlfn.XLOOKUP(Log_Art12323[[#This Row],[Machine ]], PriceTable[Machine], PriceTable[$/Unit], "")</calculatedColumnFormula>
    </tableColumn>
    <tableColumn id="3" xr3:uid="{44B359CD-2965-4432-AE6C-ACE5AEF66ADB}" name="Unit Amount" dataDxfId="552" totalsRowDxfId="553"/>
    <tableColumn id="4" xr3:uid="{7B834881-6B25-4BCB-9FF8-7D39A7B8BF03}" name="Cost" dataDxfId="550" totalsRowDxfId="551">
      <calculatedColumnFormula>IF(OR(Log_Art12323[[#This Row],[Machine ]]="", Log_Art12323[[#This Row],[Unit Amount]]=""), "", IFERROR(MAX(Log_Art12323[[#This Row],[Unit Amount]] * Log_Art12323[[#This Row],[$/Unit]], 3), ""))</calculatedColumnFormula>
    </tableColumn>
    <tableColumn id="5" xr3:uid="{DEF9E686-43CA-4EFE-B7E7-241F4CE2482E}" name="Payer" dataDxfId="548" totalsRowDxfId="549"/>
    <tableColumn id="6" xr3:uid="{4A56E1BE-2089-44B3-AD78-2834C2BF6819}" name="Notes" dataDxfId="546" totalsRowDxfId="547"/>
    <tableColumn id="7" xr3:uid="{2DC88E0A-BB2A-4726-8052-4DCBB32C6D6A}" name="Course Number" dataDxfId="544" totalsRowDxfId="545"/>
    <tableColumn id="8" xr3:uid="{8995C4AE-A789-4D02-8A3B-E5169D80D0AA}" name="Time" dataDxfId="542" totalsRowDxfId="543"/>
    <tableColumn id="9" xr3:uid="{C84D06FD-C59C-442A-8916-B01438BCD7AD}" name="Transaction Number" dataDxfId="540" totalsRowDxfId="541"/>
    <tableColumn id="10" xr3:uid="{1FCBFD0C-1CC5-41DB-B2D8-622E64E4FC6D}" name="Processed By" dataDxfId="538" totalsRowDxfId="539"/>
    <tableColumn id="11" xr3:uid="{11CD3B72-C581-41E3-A072-E4D9204C4AA9}" name="Status" totalsRowFunction="custom" dataDxfId="536" totalsRowDxfId="537">
      <totalsRowFormula>SUBTOTAL(109,Log_Art12323[Cost])</totalsRowFormula>
    </tableColumn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2F19430-2AF7-46FB-BF51-067C793E6D31}" name="Log_Atkinson14524" displayName="Log_Atkinson14524" comment="Atkinson Building Table" ref="A2:K51" totalsRowCount="1" headerRowDxfId="522" dataDxfId="521" headerRowBorderDxfId="519" tableBorderDxfId="520">
  <autoFilter ref="A2:K5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FB72EED-37DA-440E-A54B-B417B50BD723}" name="Machine " totalsRowLabel="Total" dataDxfId="517" totalsRowDxfId="518"/>
    <tableColumn id="2" xr3:uid="{A223CF8C-9F1A-4461-BECA-891A559D10BB}" name="$/Unit" dataDxfId="515" totalsRowDxfId="516">
      <calculatedColumnFormula>_xlfn.XLOOKUP(Log_Atkinson14524[[#This Row],[Machine ]], PriceTable[Machine], PriceTable[$/Unit], "")</calculatedColumnFormula>
    </tableColumn>
    <tableColumn id="3" xr3:uid="{32917395-736E-4D13-9267-22F9353C3863}" name="Unit Amount" dataDxfId="513" totalsRowDxfId="514"/>
    <tableColumn id="4" xr3:uid="{61E711EC-3422-494F-A771-534904EBCA58}" name="Cost" dataDxfId="511" totalsRowDxfId="512">
      <calculatedColumnFormula>IF(OR(Log_Atkinson14524[[#This Row],[Machine ]]="", Log_Atkinson14524[[#This Row],[Unit Amount]]=""), "", IFERROR(MAX(Log_Atkinson14524[[#This Row],[Unit Amount]] * Log_Atkinson14524[[#This Row],[$/Unit]], 3), ""))</calculatedColumnFormula>
    </tableColumn>
    <tableColumn id="5" xr3:uid="{AD7CB502-7945-4D0D-A937-FA2038B05765}" name="Payer" dataDxfId="509" totalsRowDxfId="510"/>
    <tableColumn id="6" xr3:uid="{6832C869-5943-4B30-AC8E-47235AB38D45}" name="Notes" dataDxfId="507" totalsRowDxfId="508"/>
    <tableColumn id="7" xr3:uid="{3B0E2244-C957-4082-B1DB-C58746DB79FD}" name="Course Number" dataDxfId="505" totalsRowDxfId="506"/>
    <tableColumn id="8" xr3:uid="{0E1F614E-A60D-4E54-8BB6-8B5517974153}" name="Date" dataDxfId="503" totalsRowDxfId="504"/>
    <tableColumn id="9" xr3:uid="{6214EA55-7366-4CB1-86CF-78B13E098CEC}" name="Transaction Number" dataDxfId="501" totalsRowDxfId="502"/>
    <tableColumn id="10" xr3:uid="{5E8E8D12-8334-4CA3-BD4D-BE74BEAE6B2B}" name="Processed By" dataDxfId="499" totalsRowDxfId="500"/>
    <tableColumn id="11" xr3:uid="{604BC865-9A65-4860-B96F-E0BFE4E51DD6}" name="Status" totalsRowFunction="custom" dataDxfId="497" totalsRowDxfId="498">
      <totalsRowFormula>SUBTOTAL(109,Log_Atkinson14524[Cost])</totalsRowFormula>
    </tableColumn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C20D534-3689-461E-84D3-F51356FD1E07}" name="Log_Art12325" displayName="Log_Art12325" comment="Art Building Table" ref="A59:K83" totalsRowCount="1" headerRowDxfId="496" dataDxfId="495" headerRowBorderDxfId="493" tableBorderDxfId="494">
  <autoFilter ref="A59:K8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A545E6B-A4F9-4FF1-9407-71AE698C9AA7}" name="Machine " totalsRowLabel="Total" dataDxfId="491" totalsRowDxfId="492"/>
    <tableColumn id="2" xr3:uid="{1118796E-659F-434D-A505-713051938638}" name="$/Unit" dataDxfId="489" totalsRowDxfId="490">
      <calculatedColumnFormula>_xlfn.XLOOKUP(Log_Art12325[[#This Row],[Machine ]], PriceTable[Machine], PriceTable[$/Unit], "")</calculatedColumnFormula>
    </tableColumn>
    <tableColumn id="3" xr3:uid="{1EC9925C-6DD9-4C5F-8849-9C9B3B2360FC}" name="Unit Amount" dataDxfId="487" totalsRowDxfId="488"/>
    <tableColumn id="4" xr3:uid="{A193BED7-DCEA-404B-9A79-6AA280312164}" name="Cost" dataDxfId="485" totalsRowDxfId="486">
      <calculatedColumnFormula>IF(OR(Log_Art12325[[#This Row],[Machine ]]="", Log_Art12325[[#This Row],[Unit Amount]]=""), "", IFERROR(MAX(Log_Art12325[[#This Row],[Unit Amount]] * Log_Art12325[[#This Row],[$/Unit]], 3), ""))</calculatedColumnFormula>
    </tableColumn>
    <tableColumn id="5" xr3:uid="{EF332CF4-C11D-454B-AD07-72A64B4DD346}" name="Payer" dataDxfId="483" totalsRowDxfId="484"/>
    <tableColumn id="6" xr3:uid="{003B0D2C-2261-42AC-B315-E5D5DCF7DABE}" name="Notes" dataDxfId="481" totalsRowDxfId="482"/>
    <tableColumn id="7" xr3:uid="{CCD837FE-4DC0-4B78-BD72-1BDE5E756B51}" name="Course Number" dataDxfId="479" totalsRowDxfId="480"/>
    <tableColumn id="8" xr3:uid="{A1BCC55D-7179-4BEE-80FB-E7D16CF91DFE}" name="Time" dataDxfId="477" totalsRowDxfId="478"/>
    <tableColumn id="9" xr3:uid="{BD91F579-7C17-4F36-A824-163A85530585}" name="Transaction Number" dataDxfId="475" totalsRowDxfId="476"/>
    <tableColumn id="10" xr3:uid="{881DE34D-E124-4C95-846F-6306E3C3E03F}" name="Processed By" dataDxfId="473" totalsRowDxfId="474"/>
    <tableColumn id="11" xr3:uid="{B6DEFE5B-1CCE-485C-8C04-74CF4999277D}" name="Status" totalsRowFunction="custom" dataDxfId="471" totalsRowDxfId="472">
      <totalsRowFormula>SUBTOTAL(109,Log_Art12325[Cost])</totalsRowFormula>
    </tableColumn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B9D53D1-F0C1-425F-BDB1-F054AD6D7285}" name="Log_Atkinson14516" displayName="Log_Atkinson14516" comment="Atkinson Building Table" ref="A2:K61" totalsRowCount="1" headerRowDxfId="453" dataDxfId="452" headerRowBorderDxfId="450" tableBorderDxfId="451">
  <autoFilter ref="A2:K6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4AE9720-F618-4AFA-96BE-82EB3C46ADC8}" name="Machine " totalsRowLabel="Total" dataDxfId="448" totalsRowDxfId="449"/>
    <tableColumn id="2" xr3:uid="{276FC9E3-DDDC-4F4C-8814-18387D0EE591}" name="$/Unit" dataDxfId="446" totalsRowDxfId="447">
      <calculatedColumnFormula>_xlfn.XLOOKUP(Log_Atkinson14516[[#This Row],[Machine ]], PriceTable[Machine], PriceTable[$/Unit], "")</calculatedColumnFormula>
    </tableColumn>
    <tableColumn id="3" xr3:uid="{C2F23B9B-4D91-4397-9A35-25F0FE34EC18}" name="Unit Amount" dataDxfId="444" totalsRowDxfId="445"/>
    <tableColumn id="4" xr3:uid="{38FE480A-E136-4375-93CB-A2B89DD8D72F}" name="Cost" dataDxfId="442" totalsRowDxfId="443">
      <calculatedColumnFormula>IF(OR(Log_Atkinson14516[[#This Row],[Machine ]]="", Log_Atkinson14516[[#This Row],[Unit Amount]]=""), "", IFERROR(MAX(Log_Atkinson14516[[#This Row],[Unit Amount]] * Log_Atkinson14516[[#This Row],[$/Unit]], 3), ""))</calculatedColumnFormula>
    </tableColumn>
    <tableColumn id="5" xr3:uid="{7EB2CC07-25F5-41B5-B859-7FEB3FB5F4C7}" name="Payer" dataDxfId="440" totalsRowDxfId="441"/>
    <tableColumn id="6" xr3:uid="{FBF1DCD8-747C-4D63-92FA-837E2984F528}" name="Notes" dataDxfId="438" totalsRowDxfId="439"/>
    <tableColumn id="7" xr3:uid="{DD536B7A-376C-4F45-9798-CC1004476883}" name="Course Number" dataDxfId="436" totalsRowDxfId="437"/>
    <tableColumn id="8" xr3:uid="{F45F08FC-08F7-403C-85D4-8269469F3280}" name="Date" dataDxfId="434" totalsRowDxfId="435"/>
    <tableColumn id="9" xr3:uid="{3CEDC278-B8FF-4705-A26F-B35FC1D974B1}" name="Transaction Number" dataDxfId="432" totalsRowDxfId="433"/>
    <tableColumn id="10" xr3:uid="{E1C99D73-FABD-4188-8FFD-1A9BD600BB00}" name="Processed By" dataDxfId="430" totalsRowDxfId="431"/>
    <tableColumn id="11" xr3:uid="{757A9AE9-34EC-4EF8-85F4-EA9D87FC50D8}" name="Status" totalsRowFunction="custom" dataDxfId="428" totalsRowDxfId="429">
      <totalsRowFormula>SUBTOTAL(109,Log_Atkinson14516[Cost])</totalsRowFormula>
    </tableColumn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C29216-782F-424F-88E2-FEE30BA5E1F1}" name="Log_Art12317" displayName="Log_Art12317" comment="Art Building Table" ref="A68:K92" totalsRowCount="1" headerRowDxfId="427" dataDxfId="426" headerRowBorderDxfId="424" tableBorderDxfId="425">
  <autoFilter ref="A68:K91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483CC6C-1BAD-4B06-A2FF-ED825DE96C08}" name="Machine " totalsRowLabel="Total" dataDxfId="422" totalsRowDxfId="423"/>
    <tableColumn id="2" xr3:uid="{D720ABA3-4CA2-4537-A3D7-9DC38FFF95B4}" name="$/Unit" dataDxfId="420" totalsRowDxfId="421">
      <calculatedColumnFormula>_xlfn.XLOOKUP(Log_Art12317[[#This Row],[Machine ]], PriceTable[Machine], PriceTable[$/Unit], "")</calculatedColumnFormula>
    </tableColumn>
    <tableColumn id="3" xr3:uid="{B90D632C-FA7F-406F-BA16-289D8F72B6B7}" name="Unit Amount" dataDxfId="418" totalsRowDxfId="419"/>
    <tableColumn id="4" xr3:uid="{DE65B0F5-38DE-490B-8F28-952D53978189}" name="Cost" dataDxfId="416" totalsRowDxfId="417">
      <calculatedColumnFormula>IF(OR(Log_Art12317[[#This Row],[Machine ]]="", Log_Art12317[[#This Row],[Unit Amount]]=""), "", IFERROR(MAX(Log_Art12317[[#This Row],[Unit Amount]] * Log_Art12317[[#This Row],[$/Unit]], 3), ""))</calculatedColumnFormula>
    </tableColumn>
    <tableColumn id="5" xr3:uid="{28030BC5-1FED-4E73-A6ED-A691D4B50614}" name="Payer" dataDxfId="414" totalsRowDxfId="415"/>
    <tableColumn id="6" xr3:uid="{14CCB26B-EDD1-4583-BE7A-798AAC8C0929}" name="Notes" dataDxfId="412" totalsRowDxfId="413"/>
    <tableColumn id="7" xr3:uid="{BBF6022C-2EEE-4331-8670-EA21340DB6C4}" name="Course Number" dataDxfId="410" totalsRowDxfId="411"/>
    <tableColumn id="8" xr3:uid="{03FF657B-549E-4E86-8662-FC80C0BDEC88}" name="Time" dataDxfId="408" totalsRowDxfId="409"/>
    <tableColumn id="9" xr3:uid="{A7044FDA-BAE4-41C8-99CF-0348F47DC8F1}" name="Transaction Number" dataDxfId="406" totalsRowDxfId="407"/>
    <tableColumn id="10" xr3:uid="{843CC21F-029A-49B3-8A99-C726D1723732}" name="Processed By" dataDxfId="404" totalsRowDxfId="405"/>
    <tableColumn id="11" xr3:uid="{8AB3C498-DC25-4C4F-9006-FB6B0CE2220A}" name="Status" totalsRowFunction="custom" dataDxfId="402" totalsRowDxfId="403">
      <totalsRowFormula>SUBTOTAL(109,Log_Art12317[Cost])</totalsRowFormula>
    </tableColumn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E44043F-1CB6-42E1-91E1-5C41324CBBA4}" name="Log_Atkinson14526" displayName="Log_Atkinson14526" comment="Atkinson Building Table" ref="A2:K87" totalsRowCount="1" headerRowDxfId="391" dataDxfId="390" headerRowBorderDxfId="388" tableBorderDxfId="389">
  <autoFilter ref="A2:K86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847397D-5E91-4D26-86D7-C380CACF4F92}" name="Machine " totalsRowLabel="Total" dataDxfId="386" totalsRowDxfId="387"/>
    <tableColumn id="2" xr3:uid="{C41AF290-EB55-4AE8-85CF-CF0B6431FCEA}" name="$/Unit" dataDxfId="384" totalsRowDxfId="385">
      <calculatedColumnFormula>_xlfn.XLOOKUP(Log_Atkinson14526[[#This Row],[Machine ]], PriceTable[Machine], PriceTable[$/Unit], "")</calculatedColumnFormula>
    </tableColumn>
    <tableColumn id="3" xr3:uid="{69AF0F0E-A1E9-4D31-A333-82D337189FA9}" name="Unit Amount" dataDxfId="382" totalsRowDxfId="383"/>
    <tableColumn id="4" xr3:uid="{83DDDE8B-681F-4933-A7E4-2EF122D3EDE8}" name="Cost" dataDxfId="380" totalsRowDxfId="381">
      <calculatedColumnFormula>IF(OR(Log_Atkinson14526[[#This Row],[Machine ]]="", Log_Atkinson14526[[#This Row],[Unit Amount]]=""), "", IFERROR(MAX(Log_Atkinson14526[[#This Row],[Unit Amount]] * Log_Atkinson14526[[#This Row],[$/Unit]], 3), ""))</calculatedColumnFormula>
    </tableColumn>
    <tableColumn id="5" xr3:uid="{99B036F2-47ED-4D24-BF1F-863A41B43DDD}" name="Payer" dataDxfId="378" totalsRowDxfId="379"/>
    <tableColumn id="6" xr3:uid="{79D419CC-41EC-4CD3-A2C9-930E178A63A8}" name="Notes" dataDxfId="376" totalsRowDxfId="377"/>
    <tableColumn id="7" xr3:uid="{377503C0-4B70-4155-A193-4265C991CF99}" name="Course Number" dataDxfId="374" totalsRowDxfId="375"/>
    <tableColumn id="8" xr3:uid="{73E03D06-5554-40C2-8F38-7DFAF81C45E4}" name="Date" dataDxfId="372" totalsRowDxfId="373"/>
    <tableColumn id="9" xr3:uid="{0ADF4F59-3438-4BAD-A555-368EECB0FBD1}" name="Transaction Number" dataDxfId="370" totalsRowDxfId="371"/>
    <tableColumn id="10" xr3:uid="{53C0BE75-6AAE-42B2-B8ED-643922FFDCE1}" name="Processed By" dataDxfId="368" totalsRowDxfId="369"/>
    <tableColumn id="11" xr3:uid="{056DBE4E-0033-4527-B0FA-79AD0C767F69}" name="Status" totalsRowFunction="custom" dataDxfId="366" totalsRowDxfId="367">
      <totalsRowFormula>SUBTOTAL(109,Log_Atkinson14526[Cost])</totalsRowFormula>
    </tableColumn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14E2739-C980-42BC-8894-854CC9A71FCD}" name="Log_Art12327" displayName="Log_Art12327" comment="Art Building Table" ref="A95:K119" totalsRowCount="1" headerRowDxfId="365" dataDxfId="364" headerRowBorderDxfId="362" tableBorderDxfId="363">
  <autoFilter ref="A95:K118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9A117F8-6BD0-45EE-82D6-C5A66B984AE5}" name="Machine " totalsRowLabel="Total" dataDxfId="360" totalsRowDxfId="361"/>
    <tableColumn id="2" xr3:uid="{85DEC51A-24CC-44D7-863A-DC6EFAFFBC9F}" name="$/Unit" dataDxfId="358" totalsRowDxfId="359">
      <calculatedColumnFormula>_xlfn.XLOOKUP(Log_Art12327[[#This Row],[Machine ]], PriceTable[Machine], PriceTable[$/Unit], "")</calculatedColumnFormula>
    </tableColumn>
    <tableColumn id="3" xr3:uid="{52C0DAF4-8A32-4CDB-8411-7E8B75A0809B}" name="Unit Amount" dataDxfId="356" totalsRowDxfId="357"/>
    <tableColumn id="4" xr3:uid="{E46C5A45-F687-4927-83B8-EF404050E213}" name="Cost" dataDxfId="354" totalsRowDxfId="355">
      <calculatedColumnFormula>IF(OR(Log_Art12327[[#This Row],[Machine ]]="", Log_Art12327[[#This Row],[Unit Amount]]=""), "", IFERROR(MAX(Log_Art12327[[#This Row],[Unit Amount]] * Log_Art12327[[#This Row],[$/Unit]], 3), ""))</calculatedColumnFormula>
    </tableColumn>
    <tableColumn id="5" xr3:uid="{14A800F4-E4F1-4B69-B782-80894EF6B435}" name="Payer" dataDxfId="352" totalsRowDxfId="353"/>
    <tableColumn id="6" xr3:uid="{ACBD2871-0314-4BB3-8E6A-126D1BBBA63B}" name="Notes" dataDxfId="350" totalsRowDxfId="351"/>
    <tableColumn id="7" xr3:uid="{43E7FCEB-AC57-4A00-AA0E-EB2C6AD19BC4}" name="Course Number" dataDxfId="348" totalsRowDxfId="349"/>
    <tableColumn id="8" xr3:uid="{2A43B8FA-0BF8-4617-84C1-A60B8059657F}" name="Time" dataDxfId="346" totalsRowDxfId="347"/>
    <tableColumn id="9" xr3:uid="{4A2F778F-D1CD-4758-9C66-335B7AFF7D2E}" name="Transaction Number" dataDxfId="344" totalsRowDxfId="345"/>
    <tableColumn id="10" xr3:uid="{CCE25F17-2542-4D99-9889-D186A37E8F58}" name="Processed By" dataDxfId="342" totalsRowDxfId="343"/>
    <tableColumn id="11" xr3:uid="{E7D89920-3A9E-499C-B52A-CEE219684F76}" name="Status" totalsRowFunction="custom" dataDxfId="340" totalsRowDxfId="341">
      <totalsRowFormula>SUBTOTAL(109,Log_Art12327[Cost])</totalsRowFormula>
    </tableColumn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69B323E-5369-4D10-99BC-95E675F45CC1}" name="Log_Atkinson14530" displayName="Log_Atkinson14530" comment="Atkinson Building Table" ref="A2:K51" totalsRowCount="1" headerRowDxfId="326" dataDxfId="325" headerRowBorderDxfId="323" tableBorderDxfId="324">
  <autoFilter ref="A2:K5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485C4D1-C263-42AA-8CAA-9830F4B18B52}" name="Machine " totalsRowLabel="Total" dataDxfId="321" totalsRowDxfId="322"/>
    <tableColumn id="2" xr3:uid="{04DEDB73-B09F-4F03-8F01-786ABD96D6E7}" name="$/Unit" dataDxfId="319" totalsRowDxfId="320">
      <calculatedColumnFormula>_xlfn.XLOOKUP(Log_Atkinson14530[[#This Row],[Machine ]], PriceTable[Machine], PriceTable[$/Unit], "")</calculatedColumnFormula>
    </tableColumn>
    <tableColumn id="3" xr3:uid="{742F9B85-18C7-46EB-A957-9ED59E565541}" name="Unit Amount" dataDxfId="317" totalsRowDxfId="318"/>
    <tableColumn id="4" xr3:uid="{8481AD74-29A3-431B-A14F-85C44A4CAB50}" name="Cost" dataDxfId="315" totalsRowDxfId="316">
      <calculatedColumnFormula>IF(OR(Log_Atkinson14530[[#This Row],[Machine ]]="", Log_Atkinson14530[[#This Row],[Unit Amount]]=""), "", IFERROR(MAX(Log_Atkinson14530[[#This Row],[Unit Amount]] * Log_Atkinson14530[[#This Row],[$/Unit]], 3), ""))</calculatedColumnFormula>
    </tableColumn>
    <tableColumn id="5" xr3:uid="{5A8230B2-5858-4EC1-8A9E-1B954589B7EF}" name="Payer" dataDxfId="313" totalsRowDxfId="314"/>
    <tableColumn id="6" xr3:uid="{3DFC2B42-C16F-404B-B15A-0BF649164387}" name="Notes" dataDxfId="311" totalsRowDxfId="312"/>
    <tableColumn id="7" xr3:uid="{71F86AE4-EA0B-42E6-82EF-1D6AB9E019F5}" name="Course Number" dataDxfId="309" totalsRowDxfId="310"/>
    <tableColumn id="8" xr3:uid="{21E0CA45-B862-4056-9B6C-D1017250B745}" name="Date" dataDxfId="307" totalsRowDxfId="308"/>
    <tableColumn id="9" xr3:uid="{F4E0F6A8-45BE-46BF-8176-9BBB362197F0}" name="Transaction Number" dataDxfId="305" totalsRowDxfId="306"/>
    <tableColumn id="10" xr3:uid="{F056BFBF-602A-4225-91DB-C1693B753914}" name="Processed By" dataDxfId="303" totalsRowDxfId="304"/>
    <tableColumn id="11" xr3:uid="{48733C1D-EB7D-4E83-BC0A-002E78A97D13}" name="Status" totalsRowFunction="custom" dataDxfId="301" totalsRowDxfId="302" totalsRowCellStyle="Currency">
      <totalsRowFormula>SUBTOTAL(109,Log_Atkinson14530[Cost])</totalsRowFormula>
    </tableColumn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B14B912-4576-4710-9C1E-7619C93DC3AB}" name="Log_Art12331" displayName="Log_Art12331" comment="Art Building Table" ref="A59:K83" totalsRowCount="1" headerRowDxfId="300" dataDxfId="299" headerRowBorderDxfId="297" tableBorderDxfId="298">
  <autoFilter ref="A59:K8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66661D2-DD4B-49B0-B07F-2BA6A9E8D74C}" name="Machine " totalsRowLabel="Total" dataDxfId="295" totalsRowDxfId="296"/>
    <tableColumn id="2" xr3:uid="{E65E7410-FDB2-4CAE-BFEC-E159C3915030}" name="$/Unit" dataDxfId="293" totalsRowDxfId="294">
      <calculatedColumnFormula>_xlfn.XLOOKUP(Log_Art12331[[#This Row],[Machine ]], PriceTable[Machine], PriceTable[$/Unit], "")</calculatedColumnFormula>
    </tableColumn>
    <tableColumn id="3" xr3:uid="{5D2E20C8-BD39-4426-8A62-CB8B27D0F72A}" name="Unit Amount" dataDxfId="291" totalsRowDxfId="292"/>
    <tableColumn id="4" xr3:uid="{863CE7E9-7721-4DC3-84EB-5A5C70E63599}" name="Cost" dataDxfId="289" totalsRowDxfId="290">
      <calculatedColumnFormula>IF(OR(Log_Art12331[[#This Row],[Machine ]]="", Log_Art12331[[#This Row],[Unit Amount]]=""), "", IFERROR(MAX(Log_Art12331[[#This Row],[Unit Amount]] * Log_Art12331[[#This Row],[$/Unit]], 3), ""))</calculatedColumnFormula>
    </tableColumn>
    <tableColumn id="5" xr3:uid="{57B46815-6ACA-4C9F-872A-9D42853F119C}" name="Payer" dataDxfId="287" totalsRowDxfId="288"/>
    <tableColumn id="6" xr3:uid="{63817D32-8B7E-4913-9F99-923B99F6F65E}" name="Notes" dataDxfId="285" totalsRowDxfId="286"/>
    <tableColumn id="7" xr3:uid="{1F000D1D-E600-4581-841D-F961D763C3FB}" name="Course Number" dataDxfId="283" totalsRowDxfId="284"/>
    <tableColumn id="8" xr3:uid="{D7743A98-1F1E-4C79-B337-0E198E97FF2F}" name="Time" dataDxfId="281" totalsRowDxfId="282"/>
    <tableColumn id="9" xr3:uid="{194EC107-256C-4B37-8328-93355C1E7062}" name="Transaction Number" dataDxfId="279" totalsRowDxfId="280"/>
    <tableColumn id="10" xr3:uid="{AEE2CBF7-D207-4275-B266-A2F028711F6E}" name="Processed By" dataDxfId="277" totalsRowDxfId="278"/>
    <tableColumn id="11" xr3:uid="{462B4E8F-240D-4626-8F83-93182954C38F}" name="Status" totalsRowFunction="custom" dataDxfId="275" totalsRowDxfId="276">
      <totalsRowFormula>SUBTOTAL(109,Log_Art12331[Cost])</totalsRowFormula>
    </tableColumn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DE070B3-5D1E-4969-8972-807E4476C382}" name="Log_Atkinson14528" displayName="Log_Atkinson14528" comment="Atkinson Building Table" ref="A2:K52" totalsRowCount="1" headerRowDxfId="261" dataDxfId="260" headerRowBorderDxfId="258" tableBorderDxfId="259">
  <autoFilter ref="A2:K51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139E52B-50C0-4C61-A19F-F56CFA9711EA}" name="Machine " totalsRowLabel="Total" dataDxfId="256" totalsRowDxfId="257"/>
    <tableColumn id="2" xr3:uid="{19B24E0E-C77E-478A-9400-D2DEC914CB26}" name="$/Unit" dataDxfId="254" totalsRowDxfId="255">
      <calculatedColumnFormula>_xlfn.XLOOKUP(Log_Atkinson14528[[#This Row],[Machine ]], PriceTable[Machine], PriceTable[$/Unit], "")</calculatedColumnFormula>
    </tableColumn>
    <tableColumn id="3" xr3:uid="{83A62567-08F9-4F5A-8659-81CA5D03D374}" name="Unit Amount" dataDxfId="252" totalsRowDxfId="253"/>
    <tableColumn id="4" xr3:uid="{D6F4CD49-72EA-427F-927D-A2FFDCC7A816}" name="Cost" dataDxfId="250" totalsRowDxfId="251">
      <calculatedColumnFormula>IF(OR(Log_Atkinson14528[[#This Row],[Machine ]]="", Log_Atkinson14528[[#This Row],[Unit Amount]]=""), "", IFERROR(MAX(Log_Atkinson14528[[#This Row],[Unit Amount]] * Log_Atkinson14528[[#This Row],[$/Unit]], 3), ""))</calculatedColumnFormula>
    </tableColumn>
    <tableColumn id="5" xr3:uid="{D9A18E96-D627-472A-B491-2B79DE7BA0ED}" name="Payer" dataDxfId="248" totalsRowDxfId="249"/>
    <tableColumn id="6" xr3:uid="{49453A6F-4619-4782-B7FC-E520C4B8BDDE}" name="Notes" dataDxfId="246" totalsRowDxfId="247"/>
    <tableColumn id="7" xr3:uid="{44F53EA7-ED87-459F-B776-A3693291DFF8}" name="Course Number" dataDxfId="244" totalsRowDxfId="245"/>
    <tableColumn id="8" xr3:uid="{9C6F13F8-E8E4-41E7-849A-3B6732403ADD}" name="Date" dataDxfId="242" totalsRowDxfId="243"/>
    <tableColumn id="9" xr3:uid="{3213371C-7FA3-4205-A9D1-FB5CACA40B4E}" name="Transaction Number" dataDxfId="240" totalsRowDxfId="241"/>
    <tableColumn id="10" xr3:uid="{C8F18DA2-1DBF-4BEA-BA2D-30F19198C699}" name="Processed By" dataDxfId="238" totalsRowDxfId="239"/>
    <tableColumn id="11" xr3:uid="{869F6A18-9035-4F21-86F8-13C7DAA5C017}" name="Status" totalsRowFunction="custom" dataDxfId="236" totalsRowDxfId="237" totalsRowCellStyle="Currency">
      <totalsRowFormula>SUBTOTAL(109,Log_Atkinson14528[Cost])</totalsRowFormula>
    </tableColumn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7BCC09F-D9AF-437B-996F-8E4AEACECBCF}" name="Log_Art12329" displayName="Log_Art12329" comment="Art Building Table" ref="A60:K84" totalsRowCount="1" headerRowDxfId="235" dataDxfId="234" headerRowBorderDxfId="232" tableBorderDxfId="233">
  <autoFilter ref="A60:K83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F6B5CEC-1CC4-4985-BCE8-01FFF5FC8893}" name="Machine " totalsRowLabel="Total" dataDxfId="230" totalsRowDxfId="231"/>
    <tableColumn id="2" xr3:uid="{3DF22E05-1EE1-4550-BD14-6121AB9625C0}" name="$/Unit" dataDxfId="228" totalsRowDxfId="229">
      <calculatedColumnFormula>_xlfn.XLOOKUP(Log_Art12329[[#This Row],[Machine ]], PriceTable[Machine], PriceTable[$/Unit], "")</calculatedColumnFormula>
    </tableColumn>
    <tableColumn id="3" xr3:uid="{598BB43B-1BAC-4433-B0A5-8EE7D19F4417}" name="Unit Amount" dataDxfId="226" totalsRowDxfId="227"/>
    <tableColumn id="4" xr3:uid="{283759FA-C473-47F3-BB59-C377807FA952}" name="Cost" dataDxfId="224" totalsRowDxfId="225">
      <calculatedColumnFormula>IF(OR(Log_Art12329[[#This Row],[Machine ]]="", Log_Art12329[[#This Row],[Unit Amount]]=""), "", IFERROR(MAX(Log_Art12329[[#This Row],[Unit Amount]] * Log_Art12329[[#This Row],[$/Unit]], 3), ""))</calculatedColumnFormula>
    </tableColumn>
    <tableColumn id="5" xr3:uid="{06A6DFF5-D0D1-4F6D-9269-5D5C664F0529}" name="Payer" dataDxfId="222" totalsRowDxfId="223"/>
    <tableColumn id="6" xr3:uid="{1F1D3FF1-0388-4221-BA1E-80F01F06CE11}" name="Notes" dataDxfId="220" totalsRowDxfId="221"/>
    <tableColumn id="7" xr3:uid="{CA07DF9E-EA0C-4345-9536-06B6D06D7E6A}" name="Course Number" dataDxfId="218" totalsRowDxfId="219"/>
    <tableColumn id="8" xr3:uid="{0C3D49F7-9071-4FAB-B2BF-7CB2F42F014D}" name="Time" dataDxfId="216" totalsRowDxfId="217"/>
    <tableColumn id="9" xr3:uid="{A86453CF-C46B-4185-89ED-5F7C0FD86880}" name="Transaction Number" dataDxfId="214" totalsRowDxfId="215"/>
    <tableColumn id="10" xr3:uid="{03CD460A-CF93-4CF8-ADA9-AE77CCBA97C9}" name="Processed By" dataDxfId="212" totalsRowDxfId="213"/>
    <tableColumn id="11" xr3:uid="{E6A10EF2-323E-4A9E-914C-377193B98EF2}" name="Status" totalsRowFunction="custom" dataDxfId="210" totalsRowDxfId="211">
      <totalsRowFormula>SUBTOTAL(109,Log_Art12329[Cost])</totalsRowFormula>
    </tableColumn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27CF481-4F9E-4C79-AFD1-C667BEB84CCF}" name="Log_Atkinson14534" displayName="Log_Atkinson14534" comment="Atkinson Building Table" ref="A2:K51" totalsRowCount="1" headerRowDxfId="196" dataDxfId="195" headerRowBorderDxfId="193" tableBorderDxfId="194">
  <autoFilter ref="A2:K5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22CD4FF-7CE7-4115-AB51-5F749CE95911}" name="Machine " totalsRowLabel="Total" dataDxfId="191" totalsRowDxfId="192"/>
    <tableColumn id="2" xr3:uid="{B4BBBBDE-D136-4997-B381-19B6E3F26C65}" name="$/Unit" dataDxfId="189" totalsRowDxfId="190">
      <calculatedColumnFormula>_xlfn.XLOOKUP(Log_Atkinson14534[[#This Row],[Machine ]], PriceTable[Machine], PriceTable[$/Unit], "")</calculatedColumnFormula>
    </tableColumn>
    <tableColumn id="3" xr3:uid="{D7365D0F-690A-46BF-A56B-B666FEE66779}" name="Unit Amount" dataDxfId="187" totalsRowDxfId="188"/>
    <tableColumn id="4" xr3:uid="{426C992C-8CDC-43C3-93D5-A53D1EB603D4}" name="Cost" dataDxfId="185" totalsRowDxfId="186">
      <calculatedColumnFormula>IF(OR(Log_Atkinson14534[[#This Row],[Machine ]]="", Log_Atkinson14534[[#This Row],[Unit Amount]]=""), "", IFERROR(MAX(Log_Atkinson14534[[#This Row],[Unit Amount]] * Log_Atkinson14534[[#This Row],[$/Unit]], 3), ""))</calculatedColumnFormula>
    </tableColumn>
    <tableColumn id="5" xr3:uid="{BDA7F257-097E-44E7-B4C7-70D92D039932}" name="Payer" dataDxfId="183" totalsRowDxfId="184"/>
    <tableColumn id="6" xr3:uid="{36AE8B07-CE7E-4D93-8E63-D789AB2B4956}" name="Notes" dataDxfId="181" totalsRowDxfId="182"/>
    <tableColumn id="7" xr3:uid="{982BA771-E6BC-47C8-8102-A3AAE6492E10}" name="Course Number" dataDxfId="179" totalsRowDxfId="180"/>
    <tableColumn id="8" xr3:uid="{E6A1AC4E-2038-4ACA-9328-F833337AC5B7}" name="Date" dataDxfId="177" totalsRowDxfId="178"/>
    <tableColumn id="9" xr3:uid="{5F46F0AE-243C-4934-B7E4-71219CE05E8C}" name="Transaction Number" dataDxfId="175" totalsRowDxfId="176"/>
    <tableColumn id="10" xr3:uid="{DB6F075A-3AA4-4773-BD0E-1D669701A817}" name="Processed By" dataDxfId="173" totalsRowDxfId="174"/>
    <tableColumn id="11" xr3:uid="{ABF091CF-DE02-484A-B892-55EB6F367962}" name="Status" totalsRowFunction="custom" dataDxfId="171" totalsRowDxfId="172" totalsRowCellStyle="Currency">
      <totalsRowFormula>SUBTOTAL(109,Log_Atkinson14534[Cost])</totalsRowFormula>
    </tableColumn>
  </tableColumns>
  <tableStyleInfo name="TableStyleLight1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D9BE190-7376-400D-B459-2F6CE37527C0}" name="Log_Art12335" displayName="Log_Art12335" comment="Art Building Table" ref="A59:K83" totalsRowCount="1" headerRowDxfId="170" dataDxfId="169" headerRowBorderDxfId="167" tableBorderDxfId="168">
  <autoFilter ref="A59:K8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DDC1AF6-CD96-437A-B5FC-C09879190DF5}" name="Machine " totalsRowLabel="Total" dataDxfId="165" totalsRowDxfId="166"/>
    <tableColumn id="2" xr3:uid="{B3222259-E162-4B04-A600-3394D9B7CFD7}" name="$/Unit" dataDxfId="163" totalsRowDxfId="164">
      <calculatedColumnFormula>_xlfn.XLOOKUP(Log_Art12335[[#This Row],[Machine ]], PriceTable[Machine], PriceTable[$/Unit], "")</calculatedColumnFormula>
    </tableColumn>
    <tableColumn id="3" xr3:uid="{9D805800-3B4A-4311-BBDA-C6E8816AB15A}" name="Unit Amount" dataDxfId="161" totalsRowDxfId="162"/>
    <tableColumn id="4" xr3:uid="{C4221B4E-4D69-4886-B373-9F8728338A61}" name="Cost" dataDxfId="159" totalsRowDxfId="160">
      <calculatedColumnFormula>IF(OR(Log_Art12335[[#This Row],[Machine ]]="", Log_Art12335[[#This Row],[Unit Amount]]=""), "", IFERROR(MAX(Log_Art12335[[#This Row],[Unit Amount]] * Log_Art12335[[#This Row],[$/Unit]], 3), ""))</calculatedColumnFormula>
    </tableColumn>
    <tableColumn id="5" xr3:uid="{4E1CEA30-2D43-4AA2-8E50-9803E7C4A7D7}" name="Payer" dataDxfId="157" totalsRowDxfId="158"/>
    <tableColumn id="6" xr3:uid="{C801EFE8-D9E3-405D-8FBB-CE5C7C031B21}" name="Notes" dataDxfId="155" totalsRowDxfId="156"/>
    <tableColumn id="7" xr3:uid="{9B0A1E8C-0E17-4CFB-A74B-4621B65601F7}" name="Course Number" dataDxfId="153" totalsRowDxfId="154"/>
    <tableColumn id="8" xr3:uid="{93C5A720-2930-47FE-B146-3A47F4034A44}" name="Time" dataDxfId="151" totalsRowDxfId="152"/>
    <tableColumn id="9" xr3:uid="{7392240D-C1D4-45B7-A258-F4DDD44FBFD6}" name="Transaction Number" dataDxfId="149" totalsRowDxfId="150"/>
    <tableColumn id="10" xr3:uid="{4E02FB19-C4BC-455B-822A-56C1F0855D29}" name="Processed By" dataDxfId="147" totalsRowDxfId="148"/>
    <tableColumn id="11" xr3:uid="{90CB796C-8126-4A00-89F6-55FDCC9F58AA}" name="Status" totalsRowFunction="custom" dataDxfId="145" totalsRowDxfId="146">
      <totalsRowFormula>SUBTOTAL(109,Log_Art12335[Cost])</totalsRowFormula>
    </tableColumn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2BF448B-4B14-4218-82EB-60B0F2A11346}" name="Log_Atkinson14532" displayName="Log_Atkinson14532" comment="Atkinson Building Table" ref="A2:K51" totalsRowCount="1" headerRowDxfId="131" dataDxfId="130" headerRowBorderDxfId="128" tableBorderDxfId="129">
  <autoFilter ref="A2:K5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E86F2A2-45B0-4F5C-94C5-9849EE71F052}" name="Machine " totalsRowLabel="Total" dataDxfId="126" totalsRowDxfId="127"/>
    <tableColumn id="2" xr3:uid="{946E2799-AF4D-4B0B-B605-D3440B3EF3A0}" name="$/Unit" dataDxfId="124" totalsRowDxfId="125">
      <calculatedColumnFormula>_xlfn.XLOOKUP(Log_Atkinson14532[[#This Row],[Machine ]], PriceTable[Machine], PriceTable[$/Unit], "")</calculatedColumnFormula>
    </tableColumn>
    <tableColumn id="3" xr3:uid="{5FBD2779-7533-461A-A4D1-426AC33FFD55}" name="Unit Amount" dataDxfId="122" totalsRowDxfId="123"/>
    <tableColumn id="4" xr3:uid="{25BC6F96-9204-4021-9387-B9EF2A3F6247}" name="Cost" dataDxfId="120" totalsRowDxfId="121">
      <calculatedColumnFormula>IF(OR(Log_Atkinson14532[[#This Row],[Machine ]]="", Log_Atkinson14532[[#This Row],[Unit Amount]]=""), "", IFERROR(MAX(Log_Atkinson14532[[#This Row],[Unit Amount]] * Log_Atkinson14532[[#This Row],[$/Unit]], 3), ""))</calculatedColumnFormula>
    </tableColumn>
    <tableColumn id="5" xr3:uid="{B09A613C-399E-4B59-9863-F2098E13A4D4}" name="Payer" dataDxfId="118" totalsRowDxfId="119"/>
    <tableColumn id="6" xr3:uid="{3F6FC5D4-F6CB-4CB4-8418-ED0888F7892B}" name="Notes" dataDxfId="116" totalsRowDxfId="117"/>
    <tableColumn id="7" xr3:uid="{C1BF8724-6642-4FC8-8A1F-CC1874176477}" name="Course Number" dataDxfId="114" totalsRowDxfId="115"/>
    <tableColumn id="8" xr3:uid="{54B9FCD3-A78F-4020-9C6F-A56B1A36D178}" name="Date" dataDxfId="112" totalsRowDxfId="113"/>
    <tableColumn id="9" xr3:uid="{0FED5F0C-6716-44A2-B0B1-30BE1BD3865B}" name="Transaction Number" dataDxfId="110" totalsRowDxfId="111"/>
    <tableColumn id="10" xr3:uid="{A0483B6F-CEB9-4B24-B3C6-C136E58BF3DB}" name="Processed By" dataDxfId="108" totalsRowDxfId="109"/>
    <tableColumn id="11" xr3:uid="{349BDF25-56FA-404B-BFF6-47889E78525F}" name="Status" totalsRowFunction="custom" dataDxfId="106" totalsRowDxfId="107" totalsRowCellStyle="Currency">
      <totalsRowFormula>SUBTOTAL(109,Log_Atkinson14532[Cost])</totalsRowFormula>
    </tableColumn>
  </tableColumns>
  <tableStyleInfo name="TableStyleLight1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AE096EE-8AD6-4892-B21F-A9E7A7FB523A}" name="Log_Art12333" displayName="Log_Art12333" comment="Art Building Table" ref="A59:K83" totalsRowCount="1" headerRowDxfId="105" dataDxfId="104" headerRowBorderDxfId="102" tableBorderDxfId="103">
  <autoFilter ref="A59:K82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4B6D128-9802-4F4D-824A-12C19206A239}" name="Machine " totalsRowLabel="Total" dataDxfId="100" totalsRowDxfId="101"/>
    <tableColumn id="2" xr3:uid="{BF5FF698-E40B-4A84-B478-1ACBBCF51119}" name="$/Unit" dataDxfId="98" totalsRowDxfId="99">
      <calculatedColumnFormula>_xlfn.XLOOKUP(Log_Art12333[[#This Row],[Machine ]], PriceTable[Machine], PriceTable[$/Unit], "")</calculatedColumnFormula>
    </tableColumn>
    <tableColumn id="3" xr3:uid="{CD9BDC95-678D-4CE3-ABE4-D73936D31B6F}" name="Unit Amount" dataDxfId="96" totalsRowDxfId="97"/>
    <tableColumn id="4" xr3:uid="{58D54B78-242F-4EAE-87EC-706F01FE97D1}" name="Cost" dataDxfId="94" totalsRowDxfId="95">
      <calculatedColumnFormula>IF(OR(Log_Art12333[[#This Row],[Machine ]]="", Log_Art12333[[#This Row],[Unit Amount]]=""), "", IFERROR(MAX(Log_Art12333[[#This Row],[Unit Amount]] * Log_Art12333[[#This Row],[$/Unit]], 3), ""))</calculatedColumnFormula>
    </tableColumn>
    <tableColumn id="5" xr3:uid="{A06E8C41-E09A-4C23-9325-3E4388500062}" name="Payer" dataDxfId="92" totalsRowDxfId="93"/>
    <tableColumn id="6" xr3:uid="{A7E2723B-C129-4EA1-BD4A-833014AF0353}" name="Notes" dataDxfId="90" totalsRowDxfId="91"/>
    <tableColumn id="7" xr3:uid="{9FFE5889-52EC-4FA9-80C5-0BE3B33C9236}" name="Course Number" dataDxfId="88" totalsRowDxfId="89"/>
    <tableColumn id="8" xr3:uid="{D3292F2E-0FFF-4311-B8C6-2AB01DF918D8}" name="Time" dataDxfId="86" totalsRowDxfId="87"/>
    <tableColumn id="9" xr3:uid="{C5D31CFA-4B70-4C14-B42D-7F2C9EF0FCA3}" name="Transaction Number" dataDxfId="84" totalsRowDxfId="85"/>
    <tableColumn id="10" xr3:uid="{34DFFD5B-AFC0-4BC3-B56B-CE8D4BB8F50A}" name="Processed By" dataDxfId="82" totalsRowDxfId="83"/>
    <tableColumn id="11" xr3:uid="{CC17605F-4371-4585-A2CF-F1335AC59481}" name="Status" totalsRowFunction="custom" dataDxfId="80" totalsRowDxfId="81">
      <totalsRowFormula>SUBTOTAL(109,Log_Art12333[Cost])</totalsRowFormula>
    </tableColumn>
  </tableColumns>
  <tableStyleInfo name="TableStyleLight1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A71FF-DD84-4EB9-950F-EEF027A46B64}" name="Log_Atkinson145" displayName="Log_Atkinson145" comment="Atkinson Building Table" ref="A2:K101" totalsRowCount="1" headerRowDxfId="66" dataDxfId="65" headerRowBorderDxfId="63" tableBorderDxfId="64">
  <autoFilter ref="A2:K100" xr:uid="{A5EA71FF-DD84-4EB9-950F-EEF027A46B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DD17EFE-1F93-4599-B250-BFBEDB6B1278}" name="Machine " totalsRowLabel="Total" dataDxfId="61" totalsRowDxfId="62"/>
    <tableColumn id="2" xr3:uid="{83986F08-5FC7-41A5-821C-C3D0AD71A1EC}" name="$/Unit" dataDxfId="59" totalsRowDxfId="60">
      <calculatedColumnFormula>_xlfn.XLOOKUP(Log_Atkinson145[[#This Row],[Machine ]], PriceTable[Machine], PriceTable[$/Unit], "")</calculatedColumnFormula>
    </tableColumn>
    <tableColumn id="3" xr3:uid="{D0209005-50ED-4E7F-ABA1-A5FB887D6F3E}" name="Unit Amount" dataDxfId="57" totalsRowDxfId="58"/>
    <tableColumn id="4" xr3:uid="{CCE5DC6E-264D-4C28-83BD-8B760512827F}" name="Cost" dataDxfId="55" totalsRowDxfId="56">
      <calculatedColumnFormula>IF(OR(Log_Atkinson145[[#This Row],[Machine ]]="", Log_Atkinson145[[#This Row],[Unit Amount]]=""), "", IFERROR(MAX(Log_Atkinson145[[#This Row],[Unit Amount]] * Log_Atkinson145[[#This Row],[$/Unit]], 3), ""))</calculatedColumnFormula>
    </tableColumn>
    <tableColumn id="5" xr3:uid="{8C9DF3F3-F1FE-4790-B822-CFB761708880}" name="Payer" dataDxfId="53" totalsRowDxfId="54"/>
    <tableColumn id="6" xr3:uid="{F7808A22-9FEE-49EE-B44B-E490B6FAAEF8}" name="Notes" dataDxfId="51" totalsRowDxfId="52"/>
    <tableColumn id="7" xr3:uid="{B380FE40-2B4B-4382-8B04-AAE6D47F8C51}" name="Course Number" dataDxfId="49" totalsRowDxfId="50"/>
    <tableColumn id="8" xr3:uid="{27CE7EE1-B2B3-440C-A015-23944E39055C}" name="Date" dataDxfId="47" totalsRowDxfId="48"/>
    <tableColumn id="9" xr3:uid="{1B814E10-C752-4C2F-92A6-77043944FE21}" name="Transaction Number" dataDxfId="45" totalsRowDxfId="46"/>
    <tableColumn id="10" xr3:uid="{2A7457CC-A34B-41C0-B2B9-F071B513A59A}" name="Processed By" dataDxfId="43" totalsRowDxfId="44"/>
    <tableColumn id="11" xr3:uid="{C9502171-89CB-40B5-927D-A9D8D6F3E1BE}" name="Status" totalsRowFunction="custom" dataDxfId="41" totalsRowDxfId="42">
      <totalsRowFormula>SUBTOTAL(109,Log_Atkinson145[Cost])</totalsRowFormula>
    </tableColumn>
  </tableColumns>
  <tableStyleInfo name="TableStyleLight1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7116F0-063F-4051-980A-1610BF49009A}" name="Log_Art123" displayName="Log_Art123" comment="Art Building Table" ref="A108:K132" totalsRowCount="1" headerRowDxfId="40" dataDxfId="39" headerRowBorderDxfId="37" tableBorderDxfId="38">
  <autoFilter ref="A108:K131" xr:uid="{2C7116F0-063F-4051-980A-1610BF4900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241CE17-C779-40EC-9F6D-38AE5BF67278}" name="Machine " totalsRowLabel="Total" dataDxfId="35" totalsRowDxfId="36"/>
    <tableColumn id="2" xr3:uid="{D84F6FE2-677C-42B0-90E4-4A112517465D}" name="$/Unit" dataDxfId="33" totalsRowDxfId="34">
      <calculatedColumnFormula>_xlfn.XLOOKUP(Log_Art123[[#This Row],[Machine ]], PriceTable[Machine], PriceTable[$/Unit], "")</calculatedColumnFormula>
    </tableColumn>
    <tableColumn id="3" xr3:uid="{2A199A60-1E68-4B7B-AAFD-DF9062D51604}" name="Unit Amount" dataDxfId="31" totalsRowDxfId="32"/>
    <tableColumn id="4" xr3:uid="{ACA1C0F1-35A6-429E-BC3A-AFDE96A9E85A}" name="Cost" dataDxfId="29" totalsRowDxfId="30">
      <calculatedColumnFormula>IF(OR(Log_Art123[[#This Row],[Machine ]]="", Log_Art123[[#This Row],[Unit Amount]]=""), "", IFERROR(MAX(Log_Art123[[#This Row],[Unit Amount]] * Log_Art123[[#This Row],[$/Unit]], 3), ""))</calculatedColumnFormula>
    </tableColumn>
    <tableColumn id="5" xr3:uid="{0F91B4AF-F428-445D-A6D9-569D55071FED}" name="Payer" dataDxfId="27" totalsRowDxfId="28"/>
    <tableColumn id="6" xr3:uid="{7439B3EF-CC30-4061-BF12-848C7DB95737}" name="Notes" dataDxfId="25" totalsRowDxfId="26"/>
    <tableColumn id="7" xr3:uid="{2AC4E376-0683-4169-856D-031C08F37B2E}" name="Course Number" dataDxfId="23" totalsRowDxfId="24"/>
    <tableColumn id="8" xr3:uid="{639BC798-15CF-404A-B8A2-914A8C36F8C1}" name="Time" dataDxfId="21" totalsRowDxfId="22"/>
    <tableColumn id="9" xr3:uid="{2B3E8766-B6CC-4952-BC69-DF012D85CB49}" name="Transaction Number" dataDxfId="19" totalsRowDxfId="20"/>
    <tableColumn id="10" xr3:uid="{AA39BBA5-0E96-42D3-9521-5C24E73A7A20}" name="Processed By" dataDxfId="17" totalsRowDxfId="18"/>
    <tableColumn id="11" xr3:uid="{EA68635A-263D-43D4-BB0E-57C3C0D048B5}" name="Status" totalsRowFunction="custom" dataDxfId="15" totalsRowDxfId="16">
      <totalsRowFormula>SUBTOTAL(109,Log_Art123[Cost])</totalsRowFormula>
    </tableColumn>
  </tableColumns>
  <tableStyleInfo name="TableStyleLight1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807B25-D8BC-46B4-A0B9-86E669E9DC18}" name="PriceTable" displayName="PriceTable" comment="Table that houses prices for each machine" ref="A1:B11" totalsRowShown="0" headerRowDxfId="10" dataDxfId="9" headerRowBorderDxfId="7" tableBorderDxfId="8" totalsRowBorderDxfId="6">
  <autoFilter ref="A1:B11" xr:uid="{18807B25-D8BC-46B4-A0B9-86E669E9DC18}">
    <filterColumn colId="0" hiddenButton="1"/>
    <filterColumn colId="1" hiddenButton="1"/>
  </autoFilter>
  <tableColumns count="2">
    <tableColumn id="1" xr3:uid="{34242E2B-1B02-44E1-A104-05E3A73BCE8B}" name="Machine" dataDxfId="5"/>
    <tableColumn id="2" xr3:uid="{480ACC81-720A-41D1-BB33-63631E9F7F07}" name="$/Unit" dataDxfId="4"/>
  </tableColumns>
  <tableStyleInfo name="TableStyleLight1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C92952-338E-468A-9A10-B76ED4355805}" name="Workers" displayName="Workers" comment="Table that houses all the employees in the lab." ref="E1:E17" totalsRowShown="0" headerRowDxfId="3" dataDxfId="2" tableBorderDxfId="1">
  <autoFilter ref="E1:E17" xr:uid="{E1C92952-338E-468A-9A10-B76ED4355805}">
    <filterColumn colId="0" hiddenButton="1"/>
  </autoFilter>
  <tableColumns count="1">
    <tableColumn id="1" xr3:uid="{FC35C618-1DC8-40D3-ADFD-8E7828E01C26}" name="Staff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91E3-0347-4D18-82C0-461FBE8327CE}">
  <dimension ref="A1:K83"/>
  <sheetViews>
    <sheetView zoomScaleNormal="100" workbookViewId="0">
      <selection activeCell="I3" sqref="I3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12</v>
      </c>
      <c r="B3" s="37">
        <f>_xlfn.XLOOKUP(Log_Atkinson14558[[#This Row],[Machine ]], PriceTable[Machine], PriceTable[$/Unit], "")</f>
        <v>0</v>
      </c>
      <c r="C3" s="25"/>
      <c r="D3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" s="23"/>
      <c r="F3" s="24"/>
      <c r="G3" s="25"/>
      <c r="H3" s="26"/>
      <c r="I3" s="24"/>
      <c r="J3" s="24"/>
      <c r="K3" s="24"/>
    </row>
    <row r="4" spans="1:11" ht="15.75">
      <c r="A4" s="36" t="s">
        <v>12</v>
      </c>
      <c r="B4" s="37">
        <f>_xlfn.XLOOKUP(Log_Atkinson14558[[#This Row],[Machine ]], PriceTable[Machine], PriceTable[$/Unit], "")</f>
        <v>0</v>
      </c>
      <c r="C4" s="29"/>
      <c r="D4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" s="27"/>
      <c r="F4" s="28"/>
      <c r="G4" s="29"/>
      <c r="H4" s="30"/>
      <c r="I4" s="28"/>
      <c r="J4" s="24"/>
      <c r="K4" s="28"/>
    </row>
    <row r="5" spans="1:11" ht="15.75">
      <c r="A5" s="36" t="s">
        <v>12</v>
      </c>
      <c r="B5" s="39">
        <f>_xlfn.XLOOKUP(Log_Atkinson14558[[#This Row],[Machine ]], PriceTable[Machine], PriceTable[$/Unit], "")</f>
        <v>0</v>
      </c>
      <c r="C5" s="25"/>
      <c r="D5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5" s="23"/>
      <c r="F5" s="24"/>
      <c r="G5" s="25"/>
      <c r="H5" s="26"/>
      <c r="I5" s="24"/>
      <c r="J5" s="24"/>
      <c r="K5" s="24"/>
    </row>
    <row r="6" spans="1:11" ht="15.75">
      <c r="A6" s="36" t="s">
        <v>12</v>
      </c>
      <c r="B6" s="37">
        <f>_xlfn.XLOOKUP(Log_Atkinson14558[[#This Row],[Machine ]], PriceTable[Machine], PriceTable[$/Unit], "")</f>
        <v>0</v>
      </c>
      <c r="C6" s="29"/>
      <c r="D6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6" s="27"/>
      <c r="F6" s="28"/>
      <c r="G6" s="29"/>
      <c r="H6" s="30"/>
      <c r="I6" s="28"/>
      <c r="J6" s="24"/>
      <c r="K6" s="28"/>
    </row>
    <row r="7" spans="1:11" ht="15.75">
      <c r="A7" s="36" t="s">
        <v>12</v>
      </c>
      <c r="B7" s="39">
        <f>_xlfn.XLOOKUP(Log_Atkinson14558[[#This Row],[Machine ]], PriceTable[Machine], PriceTable[$/Unit], "")</f>
        <v>0</v>
      </c>
      <c r="C7" s="25"/>
      <c r="D7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7" s="23"/>
      <c r="F7" s="24"/>
      <c r="G7" s="25"/>
      <c r="H7" s="26"/>
      <c r="I7" s="24"/>
      <c r="J7" s="24"/>
      <c r="K7" s="24"/>
    </row>
    <row r="8" spans="1:11" ht="15.75">
      <c r="A8" s="36" t="s">
        <v>12</v>
      </c>
      <c r="B8" s="37">
        <f>_xlfn.XLOOKUP(Log_Atkinson14558[[#This Row],[Machine ]], PriceTable[Machine], PriceTable[$/Unit], "")</f>
        <v>0</v>
      </c>
      <c r="C8" s="29"/>
      <c r="D8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8" s="27"/>
      <c r="F8" s="28"/>
      <c r="G8" s="29"/>
      <c r="H8" s="30"/>
      <c r="I8" s="28"/>
      <c r="J8" s="24"/>
      <c r="K8" s="28"/>
    </row>
    <row r="9" spans="1:11" ht="15.75">
      <c r="A9" s="36" t="s">
        <v>12</v>
      </c>
      <c r="B9" s="39">
        <f>_xlfn.XLOOKUP(Log_Atkinson14558[[#This Row],[Machine ]], PriceTable[Machine], PriceTable[$/Unit], "")</f>
        <v>0</v>
      </c>
      <c r="C9" s="25"/>
      <c r="D9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9" s="23"/>
      <c r="F9" s="24"/>
      <c r="G9" s="25"/>
      <c r="H9" s="26"/>
      <c r="I9" s="24"/>
      <c r="J9" s="24"/>
      <c r="K9" s="24"/>
    </row>
    <row r="10" spans="1:11" ht="15.75">
      <c r="A10" s="36" t="s">
        <v>12</v>
      </c>
      <c r="B10" s="37">
        <f>_xlfn.XLOOKUP(Log_Atkinson14558[[#This Row],[Machine ]], PriceTable[Machine], PriceTable[$/Unit], "")</f>
        <v>0</v>
      </c>
      <c r="C10" s="29"/>
      <c r="D10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0" s="27"/>
      <c r="F10" s="28"/>
      <c r="G10" s="29"/>
      <c r="H10" s="30"/>
      <c r="I10" s="28"/>
      <c r="J10" s="24"/>
      <c r="K10" s="28"/>
    </row>
    <row r="11" spans="1:11" ht="15.75">
      <c r="A11" s="36" t="s">
        <v>12</v>
      </c>
      <c r="B11" s="39">
        <f>_xlfn.XLOOKUP(Log_Atkinson14558[[#This Row],[Machine ]], PriceTable[Machine], PriceTable[$/Unit], "")</f>
        <v>0</v>
      </c>
      <c r="C11" s="25"/>
      <c r="D11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1" s="23"/>
      <c r="F11" s="24"/>
      <c r="G11" s="25"/>
      <c r="H11" s="26"/>
      <c r="I11" s="24"/>
      <c r="J11" s="24"/>
      <c r="K11" s="24"/>
    </row>
    <row r="12" spans="1:11" ht="15.75">
      <c r="A12" s="36" t="s">
        <v>12</v>
      </c>
      <c r="B12" s="37">
        <f>_xlfn.XLOOKUP(Log_Atkinson14558[[#This Row],[Machine ]], PriceTable[Machine], PriceTable[$/Unit], "")</f>
        <v>0</v>
      </c>
      <c r="C12" s="29"/>
      <c r="D12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2" s="27"/>
      <c r="F12" s="28"/>
      <c r="G12" s="29"/>
      <c r="H12" s="30"/>
      <c r="I12" s="28"/>
      <c r="J12" s="24"/>
      <c r="K12" s="28"/>
    </row>
    <row r="13" spans="1:11" ht="15.75">
      <c r="A13" s="36" t="s">
        <v>12</v>
      </c>
      <c r="B13" s="39">
        <f>_xlfn.XLOOKUP(Log_Atkinson14558[[#This Row],[Machine ]], PriceTable[Machine], PriceTable[$/Unit], "")</f>
        <v>0</v>
      </c>
      <c r="C13" s="25"/>
      <c r="D13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3" s="23"/>
      <c r="F13" s="24"/>
      <c r="G13" s="25"/>
      <c r="H13" s="26"/>
      <c r="I13" s="24"/>
      <c r="J13" s="24"/>
      <c r="K13" s="24"/>
    </row>
    <row r="14" spans="1:11" ht="15.75">
      <c r="A14" s="36" t="s">
        <v>12</v>
      </c>
      <c r="B14" s="37">
        <f>_xlfn.XLOOKUP(Log_Atkinson14558[[#This Row],[Machine ]], PriceTable[Machine], PriceTable[$/Unit], "")</f>
        <v>0</v>
      </c>
      <c r="C14" s="29"/>
      <c r="D14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4" s="27"/>
      <c r="F14" s="28"/>
      <c r="G14" s="29"/>
      <c r="H14" s="30"/>
      <c r="I14" s="28"/>
      <c r="J14" s="24"/>
      <c r="K14" s="28"/>
    </row>
    <row r="15" spans="1:11" ht="15.75">
      <c r="A15" s="36" t="s">
        <v>12</v>
      </c>
      <c r="B15" s="39">
        <f>_xlfn.XLOOKUP(Log_Atkinson14558[[#This Row],[Machine ]], PriceTable[Machine], PriceTable[$/Unit], "")</f>
        <v>0</v>
      </c>
      <c r="C15" s="25"/>
      <c r="D15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5" s="23"/>
      <c r="F15" s="24"/>
      <c r="G15" s="25"/>
      <c r="H15" s="26"/>
      <c r="I15" s="24"/>
      <c r="J15" s="24"/>
      <c r="K15" s="24"/>
    </row>
    <row r="16" spans="1:11" ht="15.75">
      <c r="A16" s="36" t="s">
        <v>12</v>
      </c>
      <c r="B16" s="37">
        <f>_xlfn.XLOOKUP(Log_Atkinson14558[[#This Row],[Machine ]], PriceTable[Machine], PriceTable[$/Unit], "")</f>
        <v>0</v>
      </c>
      <c r="C16" s="29"/>
      <c r="D16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6" s="27"/>
      <c r="F16" s="28"/>
      <c r="G16" s="29"/>
      <c r="H16" s="30"/>
      <c r="I16" s="28"/>
      <c r="J16" s="24"/>
      <c r="K16" s="28"/>
    </row>
    <row r="17" spans="1:11" ht="15.75">
      <c r="A17" s="36" t="s">
        <v>12</v>
      </c>
      <c r="B17" s="39">
        <f>_xlfn.XLOOKUP(Log_Atkinson14558[[#This Row],[Machine ]], PriceTable[Machine], PriceTable[$/Unit], "")</f>
        <v>0</v>
      </c>
      <c r="C17" s="25"/>
      <c r="D17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7">
        <f>_xlfn.XLOOKUP(Log_Atkinson14558[[#This Row],[Machine ]], PriceTable[Machine], PriceTable[$/Unit], "")</f>
        <v>0</v>
      </c>
      <c r="C18" s="29"/>
      <c r="D18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8" s="27"/>
      <c r="F18" s="28"/>
      <c r="G18" s="29"/>
      <c r="H18" s="30"/>
      <c r="I18" s="28"/>
      <c r="J18" s="24"/>
      <c r="K18" s="28"/>
    </row>
    <row r="19" spans="1:11" ht="15.75">
      <c r="A19" s="36" t="s">
        <v>12</v>
      </c>
      <c r="B19" s="39">
        <f>_xlfn.XLOOKUP(Log_Atkinson14558[[#This Row],[Machine ]], PriceTable[Machine], PriceTable[$/Unit], "")</f>
        <v>0</v>
      </c>
      <c r="C19" s="25"/>
      <c r="D19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7">
        <f>_xlfn.XLOOKUP(Log_Atkinson14558[[#This Row],[Machine ]], PriceTable[Machine], PriceTable[$/Unit], "")</f>
        <v>0</v>
      </c>
      <c r="C20" s="29"/>
      <c r="D20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0" s="27"/>
      <c r="F20" s="28"/>
      <c r="G20" s="29"/>
      <c r="H20" s="30"/>
      <c r="I20" s="28"/>
      <c r="J20" s="24"/>
      <c r="K20" s="28"/>
    </row>
    <row r="21" spans="1:11" ht="15.75">
      <c r="A21" s="36" t="s">
        <v>12</v>
      </c>
      <c r="B21" s="39">
        <f>_xlfn.XLOOKUP(Log_Atkinson14558[[#This Row],[Machine ]], PriceTable[Machine], PriceTable[$/Unit], "")</f>
        <v>0</v>
      </c>
      <c r="C21" s="25"/>
      <c r="D21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_xlfn.XLOOKUP(Log_Atkinson14558[[#This Row],[Machine ]], PriceTable[Machine], PriceTable[$/Unit], "")</f>
        <v>0</v>
      </c>
      <c r="C22" s="29"/>
      <c r="D22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2" s="27"/>
      <c r="F22" s="28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_xlfn.XLOOKUP(Log_Atkinson14558[[#This Row],[Machine ]], PriceTable[Machine], PriceTable[$/Unit], "")</f>
        <v>0</v>
      </c>
      <c r="C23" s="25"/>
      <c r="D23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_xlfn.XLOOKUP(Log_Atkinson14558[[#This Row],[Machine ]], PriceTable[Machine], PriceTable[$/Unit], "")</f>
        <v>0</v>
      </c>
      <c r="C24" s="29"/>
      <c r="D24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4" s="27"/>
      <c r="F24" s="28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_xlfn.XLOOKUP(Log_Atkinson14558[[#This Row],[Machine ]], PriceTable[Machine], PriceTable[$/Unit], "")</f>
        <v>0</v>
      </c>
      <c r="C25" s="25"/>
      <c r="D25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_xlfn.XLOOKUP(Log_Atkinson14558[[#This Row],[Machine ]], PriceTable[Machine], PriceTable[$/Unit], "")</f>
        <v>0</v>
      </c>
      <c r="C26" s="29"/>
      <c r="D26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6" s="27"/>
      <c r="F26" s="28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_xlfn.XLOOKUP(Log_Atkinson14558[[#This Row],[Machine ]], PriceTable[Machine], PriceTable[$/Unit], "")</f>
        <v>0</v>
      </c>
      <c r="C27" s="25"/>
      <c r="D27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_xlfn.XLOOKUP(Log_Atkinson14558[[#This Row],[Machine ]], PriceTable[Machine], PriceTable[$/Unit], "")</f>
        <v>0</v>
      </c>
      <c r="C28" s="29"/>
      <c r="D28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8" s="27"/>
      <c r="F28" s="28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_xlfn.XLOOKUP(Log_Atkinson14558[[#This Row],[Machine ]], PriceTable[Machine], PriceTable[$/Unit], "")</f>
        <v>0</v>
      </c>
      <c r="C29" s="25"/>
      <c r="D29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_xlfn.XLOOKUP(Log_Atkinson14558[[#This Row],[Machine ]], PriceTable[Machine], PriceTable[$/Unit], "")</f>
        <v>0</v>
      </c>
      <c r="C30" s="29"/>
      <c r="D30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0" s="27"/>
      <c r="F30" s="28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_xlfn.XLOOKUP(Log_Atkinson14558[[#This Row],[Machine ]], PriceTable[Machine], PriceTable[$/Unit], "")</f>
        <v>0</v>
      </c>
      <c r="C31" s="25"/>
      <c r="D31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_xlfn.XLOOKUP(Log_Atkinson14558[[#This Row],[Machine ]], PriceTable[Machine], PriceTable[$/Unit], "")</f>
        <v>0</v>
      </c>
      <c r="C32" s="29"/>
      <c r="D32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2" s="27"/>
      <c r="F32" s="28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_xlfn.XLOOKUP(Log_Atkinson14558[[#This Row],[Machine ]], PriceTable[Machine], PriceTable[$/Unit], "")</f>
        <v>0</v>
      </c>
      <c r="C33" s="25"/>
      <c r="D33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_xlfn.XLOOKUP(Log_Atkinson14558[[#This Row],[Machine ]], PriceTable[Machine], PriceTable[$/Unit], "")</f>
        <v>0</v>
      </c>
      <c r="C34" s="29"/>
      <c r="D34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4" s="27"/>
      <c r="F34" s="28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_xlfn.XLOOKUP(Log_Atkinson14558[[#This Row],[Machine ]], PriceTable[Machine], PriceTable[$/Unit], "")</f>
        <v>0</v>
      </c>
      <c r="C35" s="25"/>
      <c r="D35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_xlfn.XLOOKUP(Log_Atkinson14558[[#This Row],[Machine ]], PriceTable[Machine], PriceTable[$/Unit], "")</f>
        <v>0</v>
      </c>
      <c r="C36" s="29"/>
      <c r="D36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6" s="27"/>
      <c r="F36" s="28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_xlfn.XLOOKUP(Log_Atkinson14558[[#This Row],[Machine ]], PriceTable[Machine], PriceTable[$/Unit], "")</f>
        <v>0</v>
      </c>
      <c r="C37" s="25"/>
      <c r="D37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_xlfn.XLOOKUP(Log_Atkinson14558[[#This Row],[Machine ]], PriceTable[Machine], PriceTable[$/Unit], "")</f>
        <v>0</v>
      </c>
      <c r="C38" s="29"/>
      <c r="D38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8" s="27"/>
      <c r="F38" s="28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_xlfn.XLOOKUP(Log_Atkinson14558[[#This Row],[Machine ]], PriceTable[Machine], PriceTable[$/Unit], "")</f>
        <v>0</v>
      </c>
      <c r="C39" s="25"/>
      <c r="D39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_xlfn.XLOOKUP(Log_Atkinson14558[[#This Row],[Machine ]], PriceTable[Machine], PriceTable[$/Unit], "")</f>
        <v>0</v>
      </c>
      <c r="C40" s="29"/>
      <c r="D40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0" s="27"/>
      <c r="F40" s="28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_xlfn.XLOOKUP(Log_Atkinson14558[[#This Row],[Machine ]], PriceTable[Machine], PriceTable[$/Unit], "")</f>
        <v>0</v>
      </c>
      <c r="C41" s="25"/>
      <c r="D41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_xlfn.XLOOKUP(Log_Atkinson14558[[#This Row],[Machine ]], PriceTable[Machine], PriceTable[$/Unit], "")</f>
        <v>0</v>
      </c>
      <c r="C42" s="29"/>
      <c r="D42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2" s="27"/>
      <c r="F42" s="28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_xlfn.XLOOKUP(Log_Atkinson14558[[#This Row],[Machine ]], PriceTable[Machine], PriceTable[$/Unit], "")</f>
        <v>0</v>
      </c>
      <c r="C43" s="25"/>
      <c r="D43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_xlfn.XLOOKUP(Log_Atkinson14558[[#This Row],[Machine ]], PriceTable[Machine], PriceTable[$/Unit], "")</f>
        <v>0</v>
      </c>
      <c r="C44" s="29"/>
      <c r="D44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4" s="27"/>
      <c r="F44" s="28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_xlfn.XLOOKUP(Log_Atkinson14558[[#This Row],[Machine ]], PriceTable[Machine], PriceTable[$/Unit], "")</f>
        <v>0</v>
      </c>
      <c r="C45" s="25"/>
      <c r="D45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_xlfn.XLOOKUP(Log_Atkinson14558[[#This Row],[Machine ]], PriceTable[Machine], PriceTable[$/Unit], "")</f>
        <v>0</v>
      </c>
      <c r="C46" s="29"/>
      <c r="D46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6" s="27"/>
      <c r="F46" s="28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_xlfn.XLOOKUP(Log_Atkinson14558[[#This Row],[Machine ]], PriceTable[Machine], PriceTable[$/Unit], "")</f>
        <v>0</v>
      </c>
      <c r="C47" s="25"/>
      <c r="D47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_xlfn.XLOOKUP(Log_Atkinson14558[[#This Row],[Machine ]], PriceTable[Machine], PriceTable[$/Unit], "")</f>
        <v>0</v>
      </c>
      <c r="C48" s="29"/>
      <c r="D48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8" s="27"/>
      <c r="F48" s="28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_xlfn.XLOOKUP(Log_Atkinson14558[[#This Row],[Machine ]], PriceTable[Machine], PriceTable[$/Unit], "")</f>
        <v>0</v>
      </c>
      <c r="C49" s="25"/>
      <c r="D49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_xlfn.XLOOKUP(Log_Atkinson14558[[#This Row],[Machine ]], PriceTable[Machine], PriceTable[$/Unit], "")</f>
        <v>0</v>
      </c>
      <c r="C50" s="25"/>
      <c r="D50" s="38" t="str">
        <f>IF(OR(Log_Atkinson14558[[#This Row],[Machine ]]="", Log_Atkinson14558[[#This Row],[Unit Amount]]=""), "", IFERROR(MAX(Log_Atkinson14558[[#This Row],[Unit Amount]] * Log_Atkinson14558[[#This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13</v>
      </c>
      <c r="B51" s="40"/>
      <c r="C51" s="25"/>
      <c r="D51" s="41"/>
      <c r="E51" s="23"/>
      <c r="F51" s="24"/>
      <c r="G51" s="25"/>
      <c r="H51" s="25"/>
      <c r="I51" s="24"/>
      <c r="J51" s="24"/>
      <c r="K51" s="56">
        <f>SUBTOTAL(109,Log_Atkinson14558[Cost])</f>
        <v>0</v>
      </c>
    </row>
    <row r="52" spans="1:11" ht="15.75">
      <c r="A52" s="42"/>
      <c r="B52" s="43"/>
      <c r="C52" s="44"/>
      <c r="D52" s="45"/>
      <c r="E52" s="46"/>
      <c r="F52" s="47"/>
      <c r="G52" s="44"/>
      <c r="H52" s="44"/>
      <c r="I52" s="47"/>
      <c r="J52" s="47"/>
      <c r="K52" s="58"/>
    </row>
    <row r="53" spans="1:11" ht="15.75">
      <c r="C53" s="48"/>
      <c r="E53" s="49"/>
      <c r="G53" s="49"/>
      <c r="H53" s="50"/>
    </row>
    <row r="54" spans="1:11" ht="15.75">
      <c r="C54" s="51"/>
    </row>
    <row r="55" spans="1:11" ht="15.75" customHeight="1"/>
    <row r="56" spans="1:11" ht="15.75"/>
    <row r="57" spans="1:11" ht="11.25" customHeight="1"/>
    <row r="58" spans="1:11" ht="24">
      <c r="A58" s="64" t="s">
        <v>14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>
      <c r="A59" s="52" t="s">
        <v>1</v>
      </c>
      <c r="B59" s="53" t="s">
        <v>2</v>
      </c>
      <c r="C59" s="53" t="s">
        <v>3</v>
      </c>
      <c r="D59" s="54" t="s">
        <v>4</v>
      </c>
      <c r="E59" s="55" t="s">
        <v>5</v>
      </c>
      <c r="F59" s="52" t="s">
        <v>6</v>
      </c>
      <c r="G59" s="55" t="s">
        <v>7</v>
      </c>
      <c r="H59" s="52" t="s">
        <v>15</v>
      </c>
      <c r="I59" s="52" t="s">
        <v>9</v>
      </c>
      <c r="J59" s="52" t="s">
        <v>10</v>
      </c>
      <c r="K59" s="52" t="s">
        <v>11</v>
      </c>
    </row>
    <row r="60" spans="1:11" ht="15.75">
      <c r="A60" s="36" t="s">
        <v>12</v>
      </c>
      <c r="B60" s="39">
        <f>_xlfn.XLOOKUP(Log_Art12379[[#This Row],[Machine ]], PriceTable[Machine], PriceTable[$/Unit], "")</f>
        <v>0</v>
      </c>
      <c r="C60" s="25"/>
      <c r="D60" s="38" t="str">
        <f>IF(OR(Log_Art12379[[#This Row],[Machine ]]="", Log_Art12379[[#This Row],[Unit Amount]]=""), "", IFERROR(MAX(Log_Art12379[[#This Row],[Unit Amount]] * Log_Art12379[[#This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_xlfn.XLOOKUP(Log_Art12379[[#This Row],[Machine ]], PriceTable[Machine], PriceTable[$/Unit], "")</f>
        <v>0</v>
      </c>
      <c r="C61" s="29"/>
      <c r="D61" s="38" t="str">
        <f>IF(OR(Log_Art12379[[#This Row],[Machine ]]="", Log_Art12379[[#This Row],[Unit Amount]]=""), "", IFERROR(MAX(Log_Art12379[[#This Row],[Unit Amount]] * Log_Art12379[[#This Row],[$/Unit]], 3), ""))</f>
        <v/>
      </c>
      <c r="E61" s="27"/>
      <c r="F61" s="28"/>
      <c r="G61" s="29"/>
      <c r="H61" s="30"/>
      <c r="I61" s="28"/>
      <c r="J61" s="24"/>
      <c r="K61" s="28"/>
    </row>
    <row r="62" spans="1:11" ht="15.75">
      <c r="A62" s="36" t="s">
        <v>12</v>
      </c>
      <c r="B62" s="39">
        <f>_xlfn.XLOOKUP(Log_Art12379[[#This Row],[Machine ]], PriceTable[Machine], PriceTable[$/Unit], "")</f>
        <v>0</v>
      </c>
      <c r="C62" s="25"/>
      <c r="D62" s="38" t="str">
        <f>IF(OR(Log_Art12379[[#This Row],[Machine ]]="", Log_Art12379[[#This Row],[Unit Amount]]=""), "", IFERROR(MAX(Log_Art12379[[#This Row],[Unit Amount]] * Log_Art12379[[#This Row],[$/Unit]], 3), ""))</f>
        <v/>
      </c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_xlfn.XLOOKUP(Log_Art12379[[#This Row],[Machine ]], PriceTable[Machine], PriceTable[$/Unit], "")</f>
        <v>0</v>
      </c>
      <c r="C63" s="29"/>
      <c r="D63" s="38" t="str">
        <f>IF(OR(Log_Art12379[[#This Row],[Machine ]]="", Log_Art12379[[#This Row],[Unit Amount]]=""), "", IFERROR(MAX(Log_Art12379[[#This Row],[Unit Amount]] * Log_Art12379[[#This Row],[$/Unit]], 3), ""))</f>
        <v/>
      </c>
      <c r="E63" s="27"/>
      <c r="F63" s="28"/>
      <c r="G63" s="29"/>
      <c r="H63" s="30"/>
      <c r="I63" s="28"/>
      <c r="J63" s="24"/>
      <c r="K63" s="28"/>
    </row>
    <row r="64" spans="1:11" ht="15.75">
      <c r="A64" s="36" t="s">
        <v>12</v>
      </c>
      <c r="B64" s="39">
        <f>_xlfn.XLOOKUP(Log_Art12379[[#This Row],[Machine ]], PriceTable[Machine], PriceTable[$/Unit], "")</f>
        <v>0</v>
      </c>
      <c r="C64" s="25"/>
      <c r="D64" s="38" t="str">
        <f>IF(OR(Log_Art12379[[#This Row],[Machine ]]="", Log_Art12379[[#This Row],[Unit Amount]]=""), "", IFERROR(MAX(Log_Art12379[[#This Row],[Unit Amount]] * Log_Art12379[[#This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_xlfn.XLOOKUP(Log_Art12379[[#This Row],[Machine ]], PriceTable[Machine], PriceTable[$/Unit], "")</f>
        <v>0</v>
      </c>
      <c r="C65" s="29"/>
      <c r="D65" s="38" t="str">
        <f>IF(OR(Log_Art12379[[#This Row],[Machine ]]="", Log_Art12379[[#This Row],[Unit Amount]]=""), "", IFERROR(MAX(Log_Art12379[[#This Row],[Unit Amount]] * Log_Art12379[[#This Row],[$/Unit]], 3), ""))</f>
        <v/>
      </c>
      <c r="E65" s="27"/>
      <c r="F65" s="28"/>
      <c r="G65" s="29"/>
      <c r="H65" s="30"/>
      <c r="I65" s="28"/>
      <c r="J65" s="24"/>
      <c r="K65" s="28"/>
    </row>
    <row r="66" spans="1:11" ht="15.75">
      <c r="A66" s="36" t="s">
        <v>12</v>
      </c>
      <c r="B66" s="39">
        <f>_xlfn.XLOOKUP(Log_Art12379[[#This Row],[Machine ]], PriceTable[Machine], PriceTable[$/Unit], "")</f>
        <v>0</v>
      </c>
      <c r="C66" s="25"/>
      <c r="D66" s="38" t="str">
        <f>IF(OR(Log_Art12379[[#This Row],[Machine ]]="", Log_Art12379[[#This Row],[Unit Amount]]=""), "", IFERROR(MAX(Log_Art12379[[#This Row],[Unit Amount]] * Log_Art12379[[#This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_xlfn.XLOOKUP(Log_Art12379[[#This Row],[Machine ]], PriceTable[Machine], PriceTable[$/Unit], "")</f>
        <v>0</v>
      </c>
      <c r="C67" s="29"/>
      <c r="D67" s="38" t="str">
        <f>IF(OR(Log_Art12379[[#This Row],[Machine ]]="", Log_Art12379[[#This Row],[Unit Amount]]=""), "", IFERROR(MAX(Log_Art12379[[#This Row],[Unit Amount]] * Log_Art12379[[#This Row],[$/Unit]], 3), ""))</f>
        <v/>
      </c>
      <c r="E67" s="27"/>
      <c r="F67" s="28"/>
      <c r="G67" s="29"/>
      <c r="H67" s="30"/>
      <c r="I67" s="28"/>
      <c r="J67" s="24"/>
      <c r="K67" s="28"/>
    </row>
    <row r="68" spans="1:11" ht="15.75">
      <c r="A68" s="36" t="s">
        <v>12</v>
      </c>
      <c r="B68" s="39">
        <f>_xlfn.XLOOKUP(Log_Art12379[[#This Row],[Machine ]], PriceTable[Machine], PriceTable[$/Unit], "")</f>
        <v>0</v>
      </c>
      <c r="C68" s="25"/>
      <c r="D68" s="38" t="str">
        <f>IF(OR(Log_Art12379[[#This Row],[Machine ]]="", Log_Art12379[[#This Row],[Unit Amount]]=""), "", IFERROR(MAX(Log_Art12379[[#This Row],[Unit Amount]] * Log_Art12379[[#This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_xlfn.XLOOKUP(Log_Art12379[[#This Row],[Machine ]], PriceTable[Machine], PriceTable[$/Unit], "")</f>
        <v>0</v>
      </c>
      <c r="C69" s="29"/>
      <c r="D69" s="38" t="str">
        <f>IF(OR(Log_Art12379[[#This Row],[Machine ]]="", Log_Art12379[[#This Row],[Unit Amount]]=""), "", IFERROR(MAX(Log_Art12379[[#This Row],[Unit Amount]] * Log_Art12379[[#This Row],[$/Unit]], 3), ""))</f>
        <v/>
      </c>
      <c r="E69" s="27"/>
      <c r="F69" s="28"/>
      <c r="G69" s="29"/>
      <c r="H69" s="30"/>
      <c r="I69" s="28"/>
      <c r="J69" s="24"/>
      <c r="K69" s="28"/>
    </row>
    <row r="70" spans="1:11" ht="15.75">
      <c r="A70" s="36" t="s">
        <v>12</v>
      </c>
      <c r="B70" s="39">
        <f>_xlfn.XLOOKUP(Log_Art12379[[#This Row],[Machine ]], PriceTable[Machine], PriceTable[$/Unit], "")</f>
        <v>0</v>
      </c>
      <c r="C70" s="25"/>
      <c r="D70" s="38" t="str">
        <f>IF(OR(Log_Art12379[[#This Row],[Machine ]]="", Log_Art12379[[#This Row],[Unit Amount]]=""), "", IFERROR(MAX(Log_Art12379[[#This Row],[Unit Amount]] * Log_Art12379[[#This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>
      <c r="A71" s="36" t="s">
        <v>12</v>
      </c>
      <c r="B71" s="39">
        <f>_xlfn.XLOOKUP(Log_Art12379[[#This Row],[Machine ]], PriceTable[Machine], PriceTable[$/Unit], "")</f>
        <v>0</v>
      </c>
      <c r="C71" s="29"/>
      <c r="D71" s="38" t="str">
        <f>IF(OR(Log_Art12379[[#This Row],[Machine ]]="", Log_Art12379[[#This Row],[Unit Amount]]=""), "", IFERROR(MAX(Log_Art12379[[#This Row],[Unit Amount]] * Log_Art12379[[#This Row],[$/Unit]], 3), ""))</f>
        <v/>
      </c>
      <c r="E71" s="27"/>
      <c r="F71" s="28"/>
      <c r="G71" s="29"/>
      <c r="H71" s="30"/>
      <c r="I71" s="28"/>
      <c r="J71" s="24"/>
      <c r="K71" s="28"/>
    </row>
    <row r="72" spans="1:11" ht="15.75">
      <c r="A72" s="36" t="s">
        <v>12</v>
      </c>
      <c r="B72" s="39">
        <f>_xlfn.XLOOKUP(Log_Art12379[[#This Row],[Machine ]], PriceTable[Machine], PriceTable[$/Unit], "")</f>
        <v>0</v>
      </c>
      <c r="C72" s="25"/>
      <c r="D72" s="38" t="str">
        <f>IF(OR(Log_Art12379[[#This Row],[Machine ]]="", Log_Art12379[[#This Row],[Unit Amount]]=""), "", IFERROR(MAX(Log_Art12379[[#This Row],[Unit Amount]] * Log_Art12379[[#This Row],[$/Unit]], 3), ""))</f>
        <v/>
      </c>
      <c r="E72" s="23"/>
      <c r="F72" s="24"/>
      <c r="G72" s="25"/>
      <c r="H72" s="26"/>
      <c r="I72" s="24"/>
      <c r="J72" s="24"/>
      <c r="K72" s="24"/>
    </row>
    <row r="73" spans="1:11" ht="15.75">
      <c r="A73" s="36" t="s">
        <v>12</v>
      </c>
      <c r="B73" s="39">
        <f>_xlfn.XLOOKUP(Log_Art12379[[#This Row],[Machine ]], PriceTable[Machine], PriceTable[$/Unit], "")</f>
        <v>0</v>
      </c>
      <c r="C73" s="29"/>
      <c r="D73" s="38" t="str">
        <f>IF(OR(Log_Art12379[[#This Row],[Machine ]]="", Log_Art12379[[#This Row],[Unit Amount]]=""), "", IFERROR(MAX(Log_Art12379[[#This Row],[Unit Amount]] * Log_Art12379[[#This Row],[$/Unit]], 3), ""))</f>
        <v/>
      </c>
      <c r="E73" s="27"/>
      <c r="F73" s="28"/>
      <c r="G73" s="29"/>
      <c r="H73" s="30"/>
      <c r="I73" s="28"/>
      <c r="J73" s="24"/>
      <c r="K73" s="28"/>
    </row>
    <row r="74" spans="1:11" ht="15.75">
      <c r="A74" s="36" t="s">
        <v>12</v>
      </c>
      <c r="B74" s="39">
        <f>_xlfn.XLOOKUP(Log_Art12379[[#This Row],[Machine ]], PriceTable[Machine], PriceTable[$/Unit], "")</f>
        <v>0</v>
      </c>
      <c r="C74" s="25"/>
      <c r="D74" s="38" t="str">
        <f>IF(OR(Log_Art12379[[#This Row],[Machine ]]="", Log_Art12379[[#This Row],[Unit Amount]]=""), "", IFERROR(MAX(Log_Art12379[[#This Row],[Unit Amount]] * Log_Art12379[[#This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39">
        <f>_xlfn.XLOOKUP(Log_Art12379[[#This Row],[Machine ]], PriceTable[Machine], PriceTable[$/Unit], "")</f>
        <v>0</v>
      </c>
      <c r="C75" s="29"/>
      <c r="D75" s="38" t="str">
        <f>IF(OR(Log_Art12379[[#This Row],[Machine ]]="", Log_Art12379[[#This Row],[Unit Amount]]=""), "", IFERROR(MAX(Log_Art12379[[#This Row],[Unit Amount]] * Log_Art12379[[#This Row],[$/Unit]], 3), ""))</f>
        <v/>
      </c>
      <c r="E75" s="27"/>
      <c r="F75" s="28"/>
      <c r="G75" s="29"/>
      <c r="H75" s="30"/>
      <c r="I75" s="28"/>
      <c r="J75" s="24"/>
      <c r="K75" s="28"/>
    </row>
    <row r="76" spans="1:11" ht="15.75">
      <c r="A76" s="36" t="s">
        <v>12</v>
      </c>
      <c r="B76" s="39">
        <f>_xlfn.XLOOKUP(Log_Art12379[[#This Row],[Machine ]], PriceTable[Machine], PriceTable[$/Unit], "")</f>
        <v>0</v>
      </c>
      <c r="C76" s="25"/>
      <c r="D76" s="38" t="str">
        <f>IF(OR(Log_Art12379[[#This Row],[Machine ]]="", Log_Art12379[[#This Row],[Unit Amount]]=""), "", IFERROR(MAX(Log_Art12379[[#This Row],[Unit Amount]] * Log_Art12379[[#This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39">
        <f>_xlfn.XLOOKUP(Log_Art12379[[#This Row],[Machine ]], PriceTable[Machine], PriceTable[$/Unit], "")</f>
        <v>0</v>
      </c>
      <c r="C77" s="29"/>
      <c r="D77" s="38" t="str">
        <f>IF(OR(Log_Art12379[[#This Row],[Machine ]]="", Log_Art12379[[#This Row],[Unit Amount]]=""), "", IFERROR(MAX(Log_Art12379[[#This Row],[Unit Amount]] * Log_Art12379[[#This Row],[$/Unit]], 3), ""))</f>
        <v/>
      </c>
      <c r="E77" s="27"/>
      <c r="F77" s="28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_xlfn.XLOOKUP(Log_Art12379[[#This Row],[Machine ]], PriceTable[Machine], PriceTable[$/Unit], "")</f>
        <v>0</v>
      </c>
      <c r="C78" s="25"/>
      <c r="D78" s="38" t="str">
        <f>IF(OR(Log_Art12379[[#This Row],[Machine ]]="", Log_Art12379[[#This Row],[Unit Amount]]=""), "", IFERROR(MAX(Log_Art12379[[#This Row],[Unit Amount]] * Log_Art12379[[#This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39">
        <f>_xlfn.XLOOKUP(Log_Art12379[[#This Row],[Machine ]], PriceTable[Machine], PriceTable[$/Unit], "")</f>
        <v>0</v>
      </c>
      <c r="C79" s="29"/>
      <c r="D79" s="38" t="str">
        <f>IF(OR(Log_Art12379[[#This Row],[Machine ]]="", Log_Art12379[[#This Row],[Unit Amount]]=""), "", IFERROR(MAX(Log_Art12379[[#This Row],[Unit Amount]] * Log_Art12379[[#This Row],[$/Unit]], 3), ""))</f>
        <v/>
      </c>
      <c r="E79" s="27"/>
      <c r="F79" s="28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_xlfn.XLOOKUP(Log_Art12379[[#This Row],[Machine ]], PriceTable[Machine], PriceTable[$/Unit], "")</f>
        <v>0</v>
      </c>
      <c r="C80" s="25"/>
      <c r="D80" s="38" t="str">
        <f>IF(OR(Log_Art12379[[#This Row],[Machine ]]="", Log_Art12379[[#This Row],[Unit Amount]]=""), "", IFERROR(MAX(Log_Art12379[[#This Row],[Unit Amount]] * Log_Art12379[[#This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39">
        <f>_xlfn.XLOOKUP(Log_Art12379[[#This Row],[Machine ]], PriceTable[Machine], PriceTable[$/Unit], "")</f>
        <v>0</v>
      </c>
      <c r="C81" s="29"/>
      <c r="D81" s="38" t="str">
        <f>IF(OR(Log_Art12379[[#This Row],[Machine ]]="", Log_Art12379[[#This Row],[Unit Amount]]=""), "", IFERROR(MAX(Log_Art12379[[#This Row],[Unit Amount]] * Log_Art12379[[#This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_xlfn.XLOOKUP(Log_Art12379[[#This Row],[Machine ]], PriceTable[Machine], PriceTable[$/Unit], "")</f>
        <v>0</v>
      </c>
      <c r="C82" s="25"/>
      <c r="D82" s="38" t="str">
        <f>IF(OR(Log_Art12379[[#This Row],[Machine ]]="", Log_Art12379[[#This Row],[Unit Amount]]=""), "", IFERROR(MAX(Log_Art12379[[#This Row],[Unit Amount]] * Log_Art12379[[#This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13</v>
      </c>
      <c r="B83" s="40"/>
      <c r="C83" s="25"/>
      <c r="D83" s="41"/>
      <c r="E83" s="23"/>
      <c r="F83" s="24"/>
      <c r="G83" s="25"/>
      <c r="H83" s="25"/>
      <c r="I83" s="24"/>
      <c r="J83" s="24"/>
      <c r="K83" s="56">
        <f>SUBTOTAL(109,Log_Art12379[Cost])</f>
        <v>0</v>
      </c>
    </row>
  </sheetData>
  <sheetProtection sheet="1" objects="1" scenarios="1"/>
  <protectedRanges>
    <protectedRange sqref="A3:K50" name="Range1_48_48_48_48_48_1"/>
    <protectedRange sqref="B82:I82 C79:C81 B60:B81 E79:I81 D60:D81 K79:K82" name="Range1_48_48_48_48_48_1_71_3"/>
    <protectedRange sqref="C60:C78 E60:I78 J60:K60 K61:K78 J61:J82" name="Range1_48_48_48_48_48_1_1"/>
    <protectedRange sqref="A60:A82" name="Range2_23_23_23_23_23_23_23_23_23_23_23_23_20_19"/>
  </protectedRanges>
  <mergeCells count="2">
    <mergeCell ref="A1:K1"/>
    <mergeCell ref="A58:K58"/>
  </mergeCells>
  <conditionalFormatting sqref="A1 H60:K82">
    <cfRule type="containsText" dxfId="844" priority="12" operator="containsText" text="Select Machine">
      <formula>NOT(ISERROR(SEARCH("Select Machine",A1)))</formula>
    </cfRule>
  </conditionalFormatting>
  <conditionalFormatting sqref="A3:A50 C3:C50 E3:F50">
    <cfRule type="containsText" dxfId="843" priority="7" operator="containsText" text="Select Machine">
      <formula>NOT(ISERROR(SEARCH("Select Machine",A3)))</formula>
    </cfRule>
  </conditionalFormatting>
  <conditionalFormatting sqref="A3:A50 G3:G50">
    <cfRule type="cellIs" dxfId="842" priority="8" operator="equal">
      <formula>"Select Machine"</formula>
    </cfRule>
  </conditionalFormatting>
  <conditionalFormatting sqref="A60:A82">
    <cfRule type="containsText" dxfId="841" priority="4" operator="containsText" text="Select Machine">
      <formula>NOT(ISERROR(SEARCH("Select Machine",A60)))</formula>
    </cfRule>
    <cfRule type="cellIs" dxfId="840" priority="5" operator="equal">
      <formula>"Select Machine"</formula>
    </cfRule>
  </conditionalFormatting>
  <conditionalFormatting sqref="C60:C82 E60:F82">
    <cfRule type="containsText" dxfId="839" priority="1" operator="containsText" text="Select Machine">
      <formula>NOT(ISERROR(SEARCH("Select Machine",C60)))</formula>
    </cfRule>
  </conditionalFormatting>
  <conditionalFormatting sqref="G3:G50">
    <cfRule type="containsText" dxfId="838" priority="9" operator="containsText" text="Select Machine">
      <formula>NOT(ISERROR(SEARCH("Select Machine",G3)))</formula>
    </cfRule>
  </conditionalFormatting>
  <conditionalFormatting sqref="G60:G82">
    <cfRule type="cellIs" dxfId="837" priority="2" operator="equal">
      <formula>"Select Machine"</formula>
    </cfRule>
    <cfRule type="containsText" dxfId="836" priority="3" operator="containsText" text="Select Machine">
      <formula>NOT(ISERROR(SEARCH("Select Machine",G60)))</formula>
    </cfRule>
  </conditionalFormatting>
  <conditionalFormatting sqref="H3:K50">
    <cfRule type="containsText" dxfId="835" priority="6" operator="containsText" text="Select Machine">
      <formula>NOT(ISERROR(SEARCH("Select Machine",H3)))</formula>
    </cfRule>
  </conditionalFormatting>
  <conditionalFormatting sqref="K84:K85 A85:J85 A86:K1048576">
    <cfRule type="containsText" dxfId="834" priority="10" operator="containsText" text="Select Machine">
      <formula>NOT(ISERROR(SEARCH("Select Machine",A84)))</formula>
    </cfRule>
  </conditionalFormatting>
  <conditionalFormatting sqref="L1:XFD1048576 A2:K2 A53:K57 A58 A59:K59">
    <cfRule type="containsText" dxfId="833" priority="11" operator="containsText" text="Select Machine">
      <formula>NOT(ISERROR(SEARCH("Select Machine",A1)))</formula>
    </cfRule>
  </conditionalFormatting>
  <conditionalFormatting sqref="L58:XFD58">
    <cfRule type="cellIs" dxfId="832" priority="13" operator="equal">
      <formula>"Select Machine"</formula>
    </cfRule>
  </conditionalFormatting>
  <dataValidations count="9">
    <dataValidation type="whole" allowBlank="1" showInputMessage="1" showErrorMessage="1" sqref="F60:F82 I3:I50 I53 I60:I82 I85 F3:F50" xr:uid="{00655EF9-8C8E-44B2-A6A1-272C06A5347B}">
      <formula1>1</formula1>
      <formula2>99999999999</formula2>
    </dataValidation>
    <dataValidation type="list" allowBlank="1" showInputMessage="1" showErrorMessage="1" sqref="K53 K60:K82 K3:K50" xr:uid="{6343396D-125B-4D47-971B-02CE39E9DA14}">
      <formula1>"Open,Closed"</formula1>
    </dataValidation>
    <dataValidation type="list" allowBlank="1" showInputMessage="1" showErrorMessage="1" sqref="A59" xr:uid="{1CEFE853-8076-4987-AE47-FC81A2AAB7D4}">
      <formula1>"Prusa,Raise3D Pro 2 Plus,Ultimaker S5,Ultimaker 2+,Markforged Onyx,Form 2,Form 2 Specialty"</formula1>
    </dataValidation>
    <dataValidation type="list" allowBlank="1" showInputMessage="1" showErrorMessage="1" sqref="A53 A85" xr:uid="{BB6C96CC-EA1E-46C6-ABA8-A813458441B5}">
      <formula1>"Prusa,Ultimaker S5,Ultimaker 2+,Raise3D Pro 2 Plus,Markforged Onyx,Form 2, Form 2 Specialty,Plasma,Forest CNC"</formula1>
    </dataValidation>
    <dataValidation type="list" allowBlank="1" showInputMessage="1" showErrorMessage="1" sqref="J53" xr:uid="{FBA309E0-436A-4146-8CEB-678F61D959D4}">
      <formula1>"Conrad,Spencer,Kiran,Jack Wayne,Morgan"</formula1>
    </dataValidation>
    <dataValidation allowBlank="1" showInputMessage="1" showErrorMessage="1" sqref="F85:F1048576 F1:F2 F53:F59" xr:uid="{8733E98C-C794-4558-B202-862D38796EE7}"/>
    <dataValidation type="list" allowBlank="1" showInputMessage="1" showErrorMessage="1" sqref="K61" xr:uid="{5947F257-FD9B-47FF-914C-F80F0C0EA69A}">
      <formula1>"Conrad,Caroline,Calcea,Cooper,Quinton,Kiran,Lacie,Mahi,Rohan,Jacob,Madison"</formula1>
    </dataValidation>
    <dataValidation type="list" allowBlank="1" showInputMessage="1" showErrorMessage="1" sqref="A60:A82 A2:A50" xr:uid="{66B70097-0B70-4352-807B-66C80240B360}">
      <formula1>MachineList</formula1>
    </dataValidation>
    <dataValidation type="list" allowBlank="1" showInputMessage="1" showErrorMessage="1" sqref="J3:J50 J60:J82" xr:uid="{CF1B4817-F1DB-40AE-9285-100AF8702A8A}">
      <formula1>Staff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58F0-BD90-4238-9CFE-F2C9470135F9}">
  <dimension ref="A1:K83"/>
  <sheetViews>
    <sheetView zoomScaleNormal="100" workbookViewId="0">
      <selection activeCell="I16" sqref="I16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_xlfn.XLOOKUP(Log_Atkinson1455[[#This Row],[Machine ]], PriceTable[Machine], PriceTable[$/Unit], "")</f>
        <v>0.1</v>
      </c>
      <c r="C3" s="25">
        <v>47</v>
      </c>
      <c r="D3" s="38">
        <f>IF(OR(Log_Atkinson1455[[#This Row],[Machine ]]="", Log_Atkinson1455[[#This Row],[Unit Amount]]=""), "", IFERROR(MAX(Log_Atkinson1455[[#This Row],[Unit Amount]] * Log_Atkinson1455[[#This Row],[$/Unit]], 3), ""))</f>
        <v>4.7</v>
      </c>
      <c r="E3" s="23" t="s">
        <v>17</v>
      </c>
      <c r="F3" s="24"/>
      <c r="G3" s="25" t="s">
        <v>18</v>
      </c>
      <c r="H3" s="26">
        <v>45904</v>
      </c>
      <c r="I3" s="24">
        <v>12</v>
      </c>
      <c r="J3" s="24" t="s">
        <v>19</v>
      </c>
      <c r="K3" s="24" t="s">
        <v>20</v>
      </c>
    </row>
    <row r="4" spans="1:11" ht="15.75">
      <c r="A4" s="36" t="s">
        <v>21</v>
      </c>
      <c r="B4" s="37" t="str">
        <f>_xlfn.XLOOKUP(Log_Atkinson1455[[#This Row],[Machine ]], PriceTable[Machine], PriceTable[$/Unit], "")</f>
        <v/>
      </c>
      <c r="C4" s="29">
        <v>16</v>
      </c>
      <c r="D4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" s="27" t="s">
        <v>22</v>
      </c>
      <c r="F4" s="28"/>
      <c r="G4" s="29" t="s">
        <v>18</v>
      </c>
      <c r="H4" s="30">
        <v>45908</v>
      </c>
      <c r="I4" s="28">
        <v>13</v>
      </c>
      <c r="J4" s="24" t="s">
        <v>23</v>
      </c>
      <c r="K4" s="28" t="s">
        <v>20</v>
      </c>
    </row>
    <row r="5" spans="1:11" ht="15.75">
      <c r="A5" s="36" t="s">
        <v>16</v>
      </c>
      <c r="B5" s="39">
        <f>_xlfn.XLOOKUP(Log_Atkinson1455[[#This Row],[Machine ]], PriceTable[Machine], PriceTable[$/Unit], "")</f>
        <v>0.1</v>
      </c>
      <c r="C5" s="25">
        <v>148</v>
      </c>
      <c r="D5" s="38">
        <f>IF(OR(Log_Atkinson1455[[#This Row],[Machine ]]="", Log_Atkinson1455[[#This Row],[Unit Amount]]=""), "", IFERROR(MAX(Log_Atkinson1455[[#This Row],[Unit Amount]] * Log_Atkinson1455[[#This Row],[$/Unit]], 3), ""))</f>
        <v>14.8</v>
      </c>
      <c r="E5" s="23" t="s">
        <v>17</v>
      </c>
      <c r="F5" s="24"/>
      <c r="G5" s="25" t="s">
        <v>18</v>
      </c>
      <c r="H5" s="26">
        <v>45909</v>
      </c>
      <c r="I5" s="24">
        <v>14</v>
      </c>
      <c r="J5" s="24" t="s">
        <v>19</v>
      </c>
      <c r="K5" s="24" t="s">
        <v>20</v>
      </c>
    </row>
    <row r="6" spans="1:11" ht="15.75">
      <c r="A6" s="36" t="s">
        <v>16</v>
      </c>
      <c r="B6" s="37">
        <f>_xlfn.XLOOKUP(Log_Atkinson1455[[#This Row],[Machine ]], PriceTable[Machine], PriceTable[$/Unit], "")</f>
        <v>0.1</v>
      </c>
      <c r="C6" s="29">
        <v>11</v>
      </c>
      <c r="D6" s="38">
        <f>IF(OR(Log_Atkinson1455[[#This Row],[Machine ]]="", Log_Atkinson1455[[#This Row],[Unit Amount]]=""), "", IFERROR(MAX(Log_Atkinson1455[[#This Row],[Unit Amount]] * Log_Atkinson1455[[#This Row],[$/Unit]], 3), ""))</f>
        <v>3</v>
      </c>
      <c r="E6" s="27" t="s">
        <v>24</v>
      </c>
      <c r="F6" s="28"/>
      <c r="G6" s="29" t="s">
        <v>25</v>
      </c>
      <c r="H6" s="30">
        <v>45910</v>
      </c>
      <c r="I6" s="28">
        <v>15</v>
      </c>
      <c r="J6" s="24" t="s">
        <v>23</v>
      </c>
      <c r="K6" s="28" t="s">
        <v>20</v>
      </c>
    </row>
    <row r="7" spans="1:11" ht="15.75">
      <c r="A7" s="36" t="s">
        <v>21</v>
      </c>
      <c r="B7" s="37" t="str">
        <f>_xlfn.XLOOKUP(Log_Atkinson1455[[#This Row],[Machine ]], PriceTable[Machine], PriceTable[$/Unit], "")</f>
        <v/>
      </c>
      <c r="C7" s="29">
        <v>46</v>
      </c>
      <c r="D7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7" s="27" t="s">
        <v>22</v>
      </c>
      <c r="F7" s="28"/>
      <c r="G7" s="29" t="s">
        <v>26</v>
      </c>
      <c r="H7" s="30">
        <v>45916</v>
      </c>
      <c r="I7" s="28">
        <v>16</v>
      </c>
      <c r="J7" s="24" t="s">
        <v>27</v>
      </c>
      <c r="K7" s="28" t="s">
        <v>20</v>
      </c>
    </row>
    <row r="8" spans="1:11" ht="15.75">
      <c r="A8" s="36" t="s">
        <v>16</v>
      </c>
      <c r="B8" s="37">
        <f>_xlfn.XLOOKUP(Log_Atkinson1455[[#This Row],[Machine ]], PriceTable[Machine], PriceTable[$/Unit], "")</f>
        <v>0.1</v>
      </c>
      <c r="C8" s="29">
        <v>205</v>
      </c>
      <c r="D8" s="38">
        <f>IF(OR(Log_Atkinson1455[[#This Row],[Machine ]]="", Log_Atkinson1455[[#This Row],[Unit Amount]]=""), "", IFERROR(MAX(Log_Atkinson1455[[#This Row],[Unit Amount]] * Log_Atkinson1455[[#This Row],[$/Unit]], 3), ""))</f>
        <v>20.5</v>
      </c>
      <c r="E8" s="27" t="s">
        <v>28</v>
      </c>
      <c r="F8" s="28"/>
      <c r="G8" s="29" t="s">
        <v>29</v>
      </c>
      <c r="H8" s="30">
        <v>45917</v>
      </c>
      <c r="I8" s="28">
        <v>17</v>
      </c>
      <c r="J8" s="24" t="s">
        <v>30</v>
      </c>
      <c r="K8" s="28" t="s">
        <v>20</v>
      </c>
    </row>
    <row r="9" spans="1:11" ht="15.75">
      <c r="A9" s="36" t="s">
        <v>16</v>
      </c>
      <c r="B9" s="39">
        <f>_xlfn.XLOOKUP(Log_Atkinson1455[[#This Row],[Machine ]], PriceTable[Machine], PriceTable[$/Unit], "")</f>
        <v>0.1</v>
      </c>
      <c r="C9" s="25">
        <v>28</v>
      </c>
      <c r="D9" s="38">
        <f>IF(OR(Log_Atkinson1455[[#This Row],[Machine ]]="", Log_Atkinson1455[[#This Row],[Unit Amount]]=""), "", IFERROR(MAX(Log_Atkinson1455[[#This Row],[Unit Amount]] * Log_Atkinson1455[[#This Row],[$/Unit]], 3), ""))</f>
        <v>3</v>
      </c>
      <c r="E9" s="23" t="s">
        <v>31</v>
      </c>
      <c r="F9" s="24"/>
      <c r="G9" s="25" t="s">
        <v>26</v>
      </c>
      <c r="H9" s="26">
        <v>45918</v>
      </c>
      <c r="I9" s="24">
        <v>18</v>
      </c>
      <c r="J9" s="24" t="s">
        <v>32</v>
      </c>
      <c r="K9" s="24" t="s">
        <v>20</v>
      </c>
    </row>
    <row r="10" spans="1:11" ht="15.75">
      <c r="A10" s="36" t="s">
        <v>16</v>
      </c>
      <c r="B10" s="37">
        <f>_xlfn.XLOOKUP(Log_Atkinson1455[[#This Row],[Machine ]], PriceTable[Machine], PriceTable[$/Unit], "")</f>
        <v>0.1</v>
      </c>
      <c r="C10" s="29">
        <v>25</v>
      </c>
      <c r="D10" s="38">
        <f>IF(OR(Log_Atkinson1455[[#This Row],[Machine ]]="", Log_Atkinson1455[[#This Row],[Unit Amount]]=""), "", IFERROR(MAX(Log_Atkinson1455[[#This Row],[Unit Amount]] * Log_Atkinson1455[[#This Row],[$/Unit]], 3), ""))</f>
        <v>3</v>
      </c>
      <c r="E10" s="27" t="s">
        <v>17</v>
      </c>
      <c r="F10" s="28"/>
      <c r="G10" s="29" t="s">
        <v>26</v>
      </c>
      <c r="H10" s="30">
        <v>45922</v>
      </c>
      <c r="I10" s="28">
        <v>19</v>
      </c>
      <c r="J10" s="24" t="s">
        <v>23</v>
      </c>
      <c r="K10" s="28" t="s">
        <v>20</v>
      </c>
    </row>
    <row r="11" spans="1:11" ht="15.75">
      <c r="A11" s="36" t="s">
        <v>16</v>
      </c>
      <c r="B11" s="39">
        <f>_xlfn.XLOOKUP(Log_Atkinson1455[[#This Row],[Machine ]], PriceTable[Machine], PriceTable[$/Unit], "")</f>
        <v>0.1</v>
      </c>
      <c r="C11" s="25">
        <v>2000</v>
      </c>
      <c r="D11" s="38">
        <f>IF(OR(Log_Atkinson1455[[#This Row],[Machine ]]="", Log_Atkinson1455[[#This Row],[Unit Amount]]=""), "", IFERROR(MAX(Log_Atkinson1455[[#This Row],[Unit Amount]] * Log_Atkinson1455[[#This Row],[$/Unit]], 3), ""))</f>
        <v>200</v>
      </c>
      <c r="E11" s="23" t="s">
        <v>33</v>
      </c>
      <c r="F11" s="24"/>
      <c r="G11" s="25" t="s">
        <v>34</v>
      </c>
      <c r="H11" s="26">
        <v>45926</v>
      </c>
      <c r="I11" s="24">
        <v>20</v>
      </c>
      <c r="J11" s="24" t="s">
        <v>35</v>
      </c>
      <c r="K11" s="24" t="s">
        <v>20</v>
      </c>
    </row>
    <row r="12" spans="1:11" ht="15.75">
      <c r="A12" s="36" t="s">
        <v>16</v>
      </c>
      <c r="B12" s="37">
        <f>_xlfn.XLOOKUP(Log_Atkinson1455[[#This Row],[Machine ]], PriceTable[Machine], PriceTable[$/Unit], "")</f>
        <v>0.1</v>
      </c>
      <c r="C12" s="29">
        <v>128</v>
      </c>
      <c r="D12" s="38">
        <f>IF(OR(Log_Atkinson1455[[#This Row],[Machine ]]="", Log_Atkinson1455[[#This Row],[Unit Amount]]=""), "", IFERROR(MAX(Log_Atkinson1455[[#This Row],[Unit Amount]] * Log_Atkinson1455[[#This Row],[$/Unit]], 3), ""))</f>
        <v>12.8</v>
      </c>
      <c r="E12" s="23" t="s">
        <v>33</v>
      </c>
      <c r="F12" s="28"/>
      <c r="G12" s="29" t="s">
        <v>36</v>
      </c>
      <c r="H12" s="30">
        <v>45929</v>
      </c>
      <c r="I12" s="28">
        <v>21</v>
      </c>
      <c r="J12" s="24" t="s">
        <v>37</v>
      </c>
      <c r="K12" s="28" t="s">
        <v>20</v>
      </c>
    </row>
    <row r="13" spans="1:11" ht="15.75">
      <c r="A13" s="36" t="s">
        <v>16</v>
      </c>
      <c r="B13" s="39">
        <f>_xlfn.XLOOKUP(Log_Atkinson1455[[#This Row],[Machine ]], PriceTable[Machine], PriceTable[$/Unit], "")</f>
        <v>0.1</v>
      </c>
      <c r="C13" s="25">
        <v>67</v>
      </c>
      <c r="D13" s="38">
        <f>IF(OR(Log_Atkinson1455[[#This Row],[Machine ]]="", Log_Atkinson1455[[#This Row],[Unit Amount]]=""), "", IFERROR(MAX(Log_Atkinson1455[[#This Row],[Unit Amount]] * Log_Atkinson1455[[#This Row],[$/Unit]], 3), ""))</f>
        <v>6.7</v>
      </c>
      <c r="E13" s="23" t="s">
        <v>38</v>
      </c>
      <c r="F13" s="24"/>
      <c r="G13" s="25" t="s">
        <v>39</v>
      </c>
      <c r="H13" s="26">
        <v>45929</v>
      </c>
      <c r="I13" s="24">
        <v>22</v>
      </c>
      <c r="J13" s="24" t="s">
        <v>40</v>
      </c>
      <c r="K13" s="24" t="s">
        <v>20</v>
      </c>
    </row>
    <row r="14" spans="1:11" ht="15.75">
      <c r="A14" s="36" t="s">
        <v>16</v>
      </c>
      <c r="B14" s="37">
        <f>_xlfn.XLOOKUP(Log_Atkinson1455[[#This Row],[Machine ]], PriceTable[Machine], PriceTable[$/Unit], "")</f>
        <v>0.1</v>
      </c>
      <c r="C14" s="29">
        <v>7</v>
      </c>
      <c r="D14" s="38">
        <f>IF(OR(Log_Atkinson1455[[#This Row],[Machine ]]="", Log_Atkinson1455[[#This Row],[Unit Amount]]=""), "", IFERROR(MAX(Log_Atkinson1455[[#This Row],[Unit Amount]] * Log_Atkinson1455[[#This Row],[$/Unit]], 3), ""))</f>
        <v>3</v>
      </c>
      <c r="E14" s="27" t="s">
        <v>17</v>
      </c>
      <c r="F14" s="28"/>
      <c r="G14" s="29" t="s">
        <v>26</v>
      </c>
      <c r="H14" s="30">
        <v>45929</v>
      </c>
      <c r="I14" s="28">
        <v>23</v>
      </c>
      <c r="J14" s="24" t="s">
        <v>23</v>
      </c>
      <c r="K14" s="28" t="s">
        <v>20</v>
      </c>
    </row>
    <row r="15" spans="1:11" ht="15.75">
      <c r="A15" s="36" t="s">
        <v>21</v>
      </c>
      <c r="B15" s="39" t="str">
        <f>_xlfn.XLOOKUP(Log_Atkinson1455[[#This Row],[Machine ]], PriceTable[Machine], PriceTable[$/Unit], "")</f>
        <v/>
      </c>
      <c r="C15" s="25">
        <v>10</v>
      </c>
      <c r="D15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15" s="23" t="s">
        <v>22</v>
      </c>
      <c r="F15" s="24"/>
      <c r="G15" s="25" t="s">
        <v>26</v>
      </c>
      <c r="H15" s="26">
        <v>45930</v>
      </c>
      <c r="I15" s="24">
        <v>24</v>
      </c>
      <c r="J15" s="24" t="s">
        <v>27</v>
      </c>
      <c r="K15" s="24" t="s">
        <v>20</v>
      </c>
    </row>
    <row r="16" spans="1:11" ht="15.75">
      <c r="A16" s="36" t="s">
        <v>12</v>
      </c>
      <c r="B16" s="37">
        <f>_xlfn.XLOOKUP(Log_Atkinson1455[[#This Row],[Machine ]], PriceTable[Machine], PriceTable[$/Unit], "")</f>
        <v>0</v>
      </c>
      <c r="C16" s="29"/>
      <c r="D16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16" s="27"/>
      <c r="F16" s="28"/>
      <c r="G16" s="29"/>
      <c r="H16" s="30"/>
      <c r="I16" s="28"/>
      <c r="J16" s="24"/>
      <c r="K16" s="28"/>
    </row>
    <row r="17" spans="1:11" ht="15.75">
      <c r="A17" s="36" t="s">
        <v>12</v>
      </c>
      <c r="B17" s="39">
        <f>_xlfn.XLOOKUP(Log_Atkinson1455[[#This Row],[Machine ]], PriceTable[Machine], PriceTable[$/Unit], "")</f>
        <v>0</v>
      </c>
      <c r="C17" s="25"/>
      <c r="D17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7">
        <f>_xlfn.XLOOKUP(Log_Atkinson1455[[#This Row],[Machine ]], PriceTable[Machine], PriceTable[$/Unit], "")</f>
        <v>0</v>
      </c>
      <c r="C18" s="29"/>
      <c r="D18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18" s="27"/>
      <c r="F18" s="28"/>
      <c r="G18" s="29"/>
      <c r="H18" s="30"/>
      <c r="I18" s="28"/>
      <c r="J18" s="24"/>
      <c r="K18" s="28"/>
    </row>
    <row r="19" spans="1:11" ht="15.75">
      <c r="A19" s="36" t="s">
        <v>12</v>
      </c>
      <c r="B19" s="39">
        <f>_xlfn.XLOOKUP(Log_Atkinson1455[[#This Row],[Machine ]], PriceTable[Machine], PriceTable[$/Unit], "")</f>
        <v>0</v>
      </c>
      <c r="C19" s="25"/>
      <c r="D19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7">
        <f>_xlfn.XLOOKUP(Log_Atkinson1455[[#This Row],[Machine ]], PriceTable[Machine], PriceTable[$/Unit], "")</f>
        <v>0</v>
      </c>
      <c r="C20" s="29"/>
      <c r="D20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0" s="27"/>
      <c r="F20" s="28"/>
      <c r="G20" s="29"/>
      <c r="H20" s="30"/>
      <c r="I20" s="28"/>
      <c r="J20" s="24"/>
      <c r="K20" s="28"/>
    </row>
    <row r="21" spans="1:11" ht="15.75">
      <c r="A21" s="36" t="s">
        <v>12</v>
      </c>
      <c r="B21" s="39">
        <f>_xlfn.XLOOKUP(Log_Atkinson1455[[#This Row],[Machine ]], PriceTable[Machine], PriceTable[$/Unit], "")</f>
        <v>0</v>
      </c>
      <c r="C21" s="25"/>
      <c r="D21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_xlfn.XLOOKUP(Log_Atkinson1455[[#This Row],[Machine ]], PriceTable[Machine], PriceTable[$/Unit], "")</f>
        <v>0</v>
      </c>
      <c r="C22" s="29"/>
      <c r="D22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2" s="27"/>
      <c r="F22" s="28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_xlfn.XLOOKUP(Log_Atkinson1455[[#This Row],[Machine ]], PriceTable[Machine], PriceTable[$/Unit], "")</f>
        <v>0</v>
      </c>
      <c r="C23" s="25"/>
      <c r="D23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_xlfn.XLOOKUP(Log_Atkinson1455[[#This Row],[Machine ]], PriceTable[Machine], PriceTable[$/Unit], "")</f>
        <v>0</v>
      </c>
      <c r="C24" s="29"/>
      <c r="D24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4" s="27"/>
      <c r="F24" s="28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_xlfn.XLOOKUP(Log_Atkinson1455[[#This Row],[Machine ]], PriceTable[Machine], PriceTable[$/Unit], "")</f>
        <v>0</v>
      </c>
      <c r="C25" s="25"/>
      <c r="D25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_xlfn.XLOOKUP(Log_Atkinson1455[[#This Row],[Machine ]], PriceTable[Machine], PriceTable[$/Unit], "")</f>
        <v>0</v>
      </c>
      <c r="C26" s="29"/>
      <c r="D26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6" s="27"/>
      <c r="F26" s="28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_xlfn.XLOOKUP(Log_Atkinson1455[[#This Row],[Machine ]], PriceTable[Machine], PriceTable[$/Unit], "")</f>
        <v>0</v>
      </c>
      <c r="C27" s="25"/>
      <c r="D27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_xlfn.XLOOKUP(Log_Atkinson1455[[#This Row],[Machine ]], PriceTable[Machine], PriceTable[$/Unit], "")</f>
        <v>0</v>
      </c>
      <c r="C28" s="29"/>
      <c r="D28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8" s="27"/>
      <c r="F28" s="28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_xlfn.XLOOKUP(Log_Atkinson1455[[#This Row],[Machine ]], PriceTable[Machine], PriceTable[$/Unit], "")</f>
        <v>0</v>
      </c>
      <c r="C29" s="25"/>
      <c r="D29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_xlfn.XLOOKUP(Log_Atkinson1455[[#This Row],[Machine ]], PriceTable[Machine], PriceTable[$/Unit], "")</f>
        <v>0</v>
      </c>
      <c r="C30" s="29"/>
      <c r="D30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0" s="27"/>
      <c r="F30" s="28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_xlfn.XLOOKUP(Log_Atkinson1455[[#This Row],[Machine ]], PriceTable[Machine], PriceTable[$/Unit], "")</f>
        <v>0</v>
      </c>
      <c r="C31" s="25"/>
      <c r="D31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_xlfn.XLOOKUP(Log_Atkinson1455[[#This Row],[Machine ]], PriceTable[Machine], PriceTable[$/Unit], "")</f>
        <v>0</v>
      </c>
      <c r="C32" s="29"/>
      <c r="D32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2" s="27"/>
      <c r="F32" s="28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_xlfn.XLOOKUP(Log_Atkinson1455[[#This Row],[Machine ]], PriceTable[Machine], PriceTable[$/Unit], "")</f>
        <v>0</v>
      </c>
      <c r="C33" s="25"/>
      <c r="D33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_xlfn.XLOOKUP(Log_Atkinson1455[[#This Row],[Machine ]], PriceTable[Machine], PriceTable[$/Unit], "")</f>
        <v>0</v>
      </c>
      <c r="C34" s="29"/>
      <c r="D34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4" s="27"/>
      <c r="F34" s="28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_xlfn.XLOOKUP(Log_Atkinson1455[[#This Row],[Machine ]], PriceTable[Machine], PriceTable[$/Unit], "")</f>
        <v>0</v>
      </c>
      <c r="C35" s="25"/>
      <c r="D35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_xlfn.XLOOKUP(Log_Atkinson1455[[#This Row],[Machine ]], PriceTable[Machine], PriceTable[$/Unit], "")</f>
        <v>0</v>
      </c>
      <c r="C36" s="29"/>
      <c r="D36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6" s="27"/>
      <c r="F36" s="28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_xlfn.XLOOKUP(Log_Atkinson1455[[#This Row],[Machine ]], PriceTable[Machine], PriceTable[$/Unit], "")</f>
        <v>0</v>
      </c>
      <c r="C37" s="25"/>
      <c r="D37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_xlfn.XLOOKUP(Log_Atkinson1455[[#This Row],[Machine ]], PriceTable[Machine], PriceTable[$/Unit], "")</f>
        <v>0</v>
      </c>
      <c r="C38" s="29"/>
      <c r="D38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8" s="27"/>
      <c r="F38" s="28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_xlfn.XLOOKUP(Log_Atkinson1455[[#This Row],[Machine ]], PriceTable[Machine], PriceTable[$/Unit], "")</f>
        <v>0</v>
      </c>
      <c r="C39" s="25"/>
      <c r="D39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_xlfn.XLOOKUP(Log_Atkinson1455[[#This Row],[Machine ]], PriceTable[Machine], PriceTable[$/Unit], "")</f>
        <v>0</v>
      </c>
      <c r="C40" s="29"/>
      <c r="D40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0" s="27"/>
      <c r="F40" s="28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_xlfn.XLOOKUP(Log_Atkinson1455[[#This Row],[Machine ]], PriceTable[Machine], PriceTable[$/Unit], "")</f>
        <v>0</v>
      </c>
      <c r="C41" s="25"/>
      <c r="D41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_xlfn.XLOOKUP(Log_Atkinson1455[[#This Row],[Machine ]], PriceTable[Machine], PriceTable[$/Unit], "")</f>
        <v>0</v>
      </c>
      <c r="C42" s="29"/>
      <c r="D42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2" s="27"/>
      <c r="F42" s="28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_xlfn.XLOOKUP(Log_Atkinson1455[[#This Row],[Machine ]], PriceTable[Machine], PriceTable[$/Unit], "")</f>
        <v>0</v>
      </c>
      <c r="C43" s="25"/>
      <c r="D43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_xlfn.XLOOKUP(Log_Atkinson1455[[#This Row],[Machine ]], PriceTable[Machine], PriceTable[$/Unit], "")</f>
        <v>0</v>
      </c>
      <c r="C44" s="29"/>
      <c r="D44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4" s="27"/>
      <c r="F44" s="28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_xlfn.XLOOKUP(Log_Atkinson1455[[#This Row],[Machine ]], PriceTable[Machine], PriceTable[$/Unit], "")</f>
        <v>0</v>
      </c>
      <c r="C45" s="25"/>
      <c r="D45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_xlfn.XLOOKUP(Log_Atkinson1455[[#This Row],[Machine ]], PriceTable[Machine], PriceTable[$/Unit], "")</f>
        <v>0</v>
      </c>
      <c r="C46" s="29"/>
      <c r="D46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6" s="27"/>
      <c r="F46" s="28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_xlfn.XLOOKUP(Log_Atkinson1455[[#This Row],[Machine ]], PriceTable[Machine], PriceTable[$/Unit], "")</f>
        <v>0</v>
      </c>
      <c r="C47" s="25"/>
      <c r="D47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_xlfn.XLOOKUP(Log_Atkinson1455[[#This Row],[Machine ]], PriceTable[Machine], PriceTable[$/Unit], "")</f>
        <v>0</v>
      </c>
      <c r="C48" s="29"/>
      <c r="D48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8" s="27"/>
      <c r="F48" s="28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_xlfn.XLOOKUP(Log_Atkinson1455[[#This Row],[Machine ]], PriceTable[Machine], PriceTable[$/Unit], "")</f>
        <v>0</v>
      </c>
      <c r="C49" s="25"/>
      <c r="D49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_xlfn.XLOOKUP(Log_Atkinson1455[[#This Row],[Machine ]], PriceTable[Machine], PriceTable[$/Unit], "")</f>
        <v>0</v>
      </c>
      <c r="C50" s="25"/>
      <c r="D50" s="38" t="str">
        <f>IF(OR(Log_Atkinson1455[[#This Row],[Machine ]]="", Log_Atkinson1455[[#This Row],[Unit Amount]]=""), "", IFERROR(MAX(Log_Atkinson1455[[#This Row],[Unit Amount]] * Log_Atkinson1455[[#This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13</v>
      </c>
      <c r="B51" s="40"/>
      <c r="C51" s="25"/>
      <c r="D51" s="41"/>
      <c r="E51" s="23"/>
      <c r="F51" s="24"/>
      <c r="G51" s="25"/>
      <c r="H51" s="25"/>
      <c r="I51" s="24"/>
      <c r="J51" s="24"/>
      <c r="K51" s="56">
        <f>SUBTOTAL(109,Log_Atkinson1455[Cost])</f>
        <v>271.5</v>
      </c>
    </row>
    <row r="52" spans="1:11" ht="15.75">
      <c r="A52" s="42"/>
      <c r="B52" s="43"/>
      <c r="C52" s="44"/>
      <c r="D52" s="45"/>
      <c r="E52" s="46"/>
      <c r="F52" s="47"/>
      <c r="G52" s="44"/>
      <c r="H52" s="44"/>
      <c r="I52" s="47"/>
      <c r="J52" s="47"/>
      <c r="K52" s="47"/>
    </row>
    <row r="53" spans="1:11" ht="15.75">
      <c r="C53" s="48"/>
      <c r="E53" s="49"/>
      <c r="G53" s="49"/>
      <c r="H53" s="50"/>
    </row>
    <row r="54" spans="1:11" ht="15.75">
      <c r="C54" s="51"/>
    </row>
    <row r="55" spans="1:11" ht="15.75" customHeight="1"/>
    <row r="56" spans="1:11" ht="15.75"/>
    <row r="57" spans="1:11" ht="11.25" customHeight="1"/>
    <row r="58" spans="1:11" ht="24">
      <c r="A58" s="64" t="s">
        <v>14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>
      <c r="A59" s="52" t="s">
        <v>1</v>
      </c>
      <c r="B59" s="53" t="s">
        <v>2</v>
      </c>
      <c r="C59" s="53" t="s">
        <v>3</v>
      </c>
      <c r="D59" s="54" t="s">
        <v>4</v>
      </c>
      <c r="E59" s="55" t="s">
        <v>5</v>
      </c>
      <c r="F59" s="52" t="s">
        <v>6</v>
      </c>
      <c r="G59" s="55" t="s">
        <v>7</v>
      </c>
      <c r="H59" s="52" t="s">
        <v>15</v>
      </c>
      <c r="I59" s="52" t="s">
        <v>9</v>
      </c>
      <c r="J59" s="52" t="s">
        <v>10</v>
      </c>
      <c r="K59" s="52" t="s">
        <v>11</v>
      </c>
    </row>
    <row r="60" spans="1:11" ht="15.75">
      <c r="A60" s="36" t="s">
        <v>12</v>
      </c>
      <c r="B60" s="39">
        <f>_xlfn.XLOOKUP(Log_Art1237[[#This Row],[Machine ]], PriceTable[Machine], PriceTable[$/Unit], "")</f>
        <v>0</v>
      </c>
      <c r="C60" s="25"/>
      <c r="D60" s="38" t="str">
        <f>IF(OR(Log_Art1237[[#This Row],[Machine ]]="", Log_Art1237[[#This Row],[Unit Amount]]=""), "", IFERROR(MAX(Log_Art1237[[#This Row],[Unit Amount]] * Log_Art1237[[#This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_xlfn.XLOOKUP(Log_Art1237[[#This Row],[Machine ]], PriceTable[Machine], PriceTable[$/Unit], "")</f>
        <v>0</v>
      </c>
      <c r="C61" s="29"/>
      <c r="D61" s="38" t="str">
        <f>IF(OR(Log_Art1237[[#This Row],[Machine ]]="", Log_Art1237[[#This Row],[Unit Amount]]=""), "", IFERROR(MAX(Log_Art1237[[#This Row],[Unit Amount]] * Log_Art1237[[#This Row],[$/Unit]], 3), ""))</f>
        <v/>
      </c>
      <c r="E61" s="27"/>
      <c r="F61" s="28"/>
      <c r="G61" s="29"/>
      <c r="H61" s="30"/>
      <c r="I61" s="28"/>
      <c r="J61" s="24"/>
      <c r="K61" s="28"/>
    </row>
    <row r="62" spans="1:11" ht="15.75">
      <c r="A62" s="36" t="s">
        <v>12</v>
      </c>
      <c r="B62" s="39">
        <f>_xlfn.XLOOKUP(Log_Art1237[[#This Row],[Machine ]], PriceTable[Machine], PriceTable[$/Unit], "")</f>
        <v>0</v>
      </c>
      <c r="C62" s="25"/>
      <c r="D62" s="38" t="str">
        <f>IF(OR(Log_Art1237[[#This Row],[Machine ]]="", Log_Art1237[[#This Row],[Unit Amount]]=""), "", IFERROR(MAX(Log_Art1237[[#This Row],[Unit Amount]] * Log_Art1237[[#This Row],[$/Unit]], 3), ""))</f>
        <v/>
      </c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_xlfn.XLOOKUP(Log_Art1237[[#This Row],[Machine ]], PriceTable[Machine], PriceTable[$/Unit], "")</f>
        <v>0</v>
      </c>
      <c r="C63" s="29"/>
      <c r="D63" s="38" t="str">
        <f>IF(OR(Log_Art1237[[#This Row],[Machine ]]="", Log_Art1237[[#This Row],[Unit Amount]]=""), "", IFERROR(MAX(Log_Art1237[[#This Row],[Unit Amount]] * Log_Art1237[[#This Row],[$/Unit]], 3), ""))</f>
        <v/>
      </c>
      <c r="E63" s="27"/>
      <c r="F63" s="28"/>
      <c r="G63" s="29"/>
      <c r="H63" s="30"/>
      <c r="I63" s="28"/>
      <c r="J63" s="24"/>
      <c r="K63" s="28"/>
    </row>
    <row r="64" spans="1:11" ht="15.75">
      <c r="A64" s="36" t="s">
        <v>12</v>
      </c>
      <c r="B64" s="39">
        <f>_xlfn.XLOOKUP(Log_Art1237[[#This Row],[Machine ]], PriceTable[Machine], PriceTable[$/Unit], "")</f>
        <v>0</v>
      </c>
      <c r="C64" s="25"/>
      <c r="D64" s="38" t="str">
        <f>IF(OR(Log_Art1237[[#This Row],[Machine ]]="", Log_Art1237[[#This Row],[Unit Amount]]=""), "", IFERROR(MAX(Log_Art1237[[#This Row],[Unit Amount]] * Log_Art1237[[#This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_xlfn.XLOOKUP(Log_Art1237[[#This Row],[Machine ]], PriceTable[Machine], PriceTable[$/Unit], "")</f>
        <v>0</v>
      </c>
      <c r="C65" s="29"/>
      <c r="D65" s="38" t="str">
        <f>IF(OR(Log_Art1237[[#This Row],[Machine ]]="", Log_Art1237[[#This Row],[Unit Amount]]=""), "", IFERROR(MAX(Log_Art1237[[#This Row],[Unit Amount]] * Log_Art1237[[#This Row],[$/Unit]], 3), ""))</f>
        <v/>
      </c>
      <c r="E65" s="27"/>
      <c r="F65" s="28"/>
      <c r="G65" s="29"/>
      <c r="H65" s="30"/>
      <c r="I65" s="28"/>
      <c r="J65" s="24"/>
      <c r="K65" s="28"/>
    </row>
    <row r="66" spans="1:11" ht="15.75">
      <c r="A66" s="36" t="s">
        <v>12</v>
      </c>
      <c r="B66" s="39">
        <f>_xlfn.XLOOKUP(Log_Art1237[[#This Row],[Machine ]], PriceTable[Machine], PriceTable[$/Unit], "")</f>
        <v>0</v>
      </c>
      <c r="C66" s="25"/>
      <c r="D66" s="38" t="str">
        <f>IF(OR(Log_Art1237[[#This Row],[Machine ]]="", Log_Art1237[[#This Row],[Unit Amount]]=""), "", IFERROR(MAX(Log_Art1237[[#This Row],[Unit Amount]] * Log_Art1237[[#This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_xlfn.XLOOKUP(Log_Art1237[[#This Row],[Machine ]], PriceTable[Machine], PriceTable[$/Unit], "")</f>
        <v>0</v>
      </c>
      <c r="C67" s="29"/>
      <c r="D67" s="38" t="str">
        <f>IF(OR(Log_Art1237[[#This Row],[Machine ]]="", Log_Art1237[[#This Row],[Unit Amount]]=""), "", IFERROR(MAX(Log_Art1237[[#This Row],[Unit Amount]] * Log_Art1237[[#This Row],[$/Unit]], 3), ""))</f>
        <v/>
      </c>
      <c r="E67" s="27"/>
      <c r="F67" s="28"/>
      <c r="G67" s="29"/>
      <c r="H67" s="30"/>
      <c r="I67" s="28"/>
      <c r="J67" s="24"/>
      <c r="K67" s="28"/>
    </row>
    <row r="68" spans="1:11" ht="15.75">
      <c r="A68" s="36" t="s">
        <v>12</v>
      </c>
      <c r="B68" s="39">
        <f>_xlfn.XLOOKUP(Log_Art1237[[#This Row],[Machine ]], PriceTable[Machine], PriceTable[$/Unit], "")</f>
        <v>0</v>
      </c>
      <c r="C68" s="25"/>
      <c r="D68" s="38" t="str">
        <f>IF(OR(Log_Art1237[[#This Row],[Machine ]]="", Log_Art1237[[#This Row],[Unit Amount]]=""), "", IFERROR(MAX(Log_Art1237[[#This Row],[Unit Amount]] * Log_Art1237[[#This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_xlfn.XLOOKUP(Log_Art1237[[#This Row],[Machine ]], PriceTable[Machine], PriceTable[$/Unit], "")</f>
        <v>0</v>
      </c>
      <c r="C69" s="29"/>
      <c r="D69" s="38" t="str">
        <f>IF(OR(Log_Art1237[[#This Row],[Machine ]]="", Log_Art1237[[#This Row],[Unit Amount]]=""), "", IFERROR(MAX(Log_Art1237[[#This Row],[Unit Amount]] * Log_Art1237[[#This Row],[$/Unit]], 3), ""))</f>
        <v/>
      </c>
      <c r="E69" s="27"/>
      <c r="F69" s="28"/>
      <c r="G69" s="29"/>
      <c r="H69" s="30"/>
      <c r="I69" s="28"/>
      <c r="J69" s="24"/>
      <c r="K69" s="28"/>
    </row>
    <row r="70" spans="1:11" ht="15.75">
      <c r="A70" s="36" t="s">
        <v>12</v>
      </c>
      <c r="B70" s="39">
        <f>_xlfn.XLOOKUP(Log_Art1237[[#This Row],[Machine ]], PriceTable[Machine], PriceTable[$/Unit], "")</f>
        <v>0</v>
      </c>
      <c r="C70" s="25"/>
      <c r="D70" s="38" t="str">
        <f>IF(OR(Log_Art1237[[#This Row],[Machine ]]="", Log_Art1237[[#This Row],[Unit Amount]]=""), "", IFERROR(MAX(Log_Art1237[[#This Row],[Unit Amount]] * Log_Art1237[[#This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>
      <c r="A71" s="36" t="s">
        <v>12</v>
      </c>
      <c r="B71" s="39">
        <f>_xlfn.XLOOKUP(Log_Art1237[[#This Row],[Machine ]], PriceTable[Machine], PriceTable[$/Unit], "")</f>
        <v>0</v>
      </c>
      <c r="C71" s="29"/>
      <c r="D71" s="38" t="str">
        <f>IF(OR(Log_Art1237[[#This Row],[Machine ]]="", Log_Art1237[[#This Row],[Unit Amount]]=""), "", IFERROR(MAX(Log_Art1237[[#This Row],[Unit Amount]] * Log_Art1237[[#This Row],[$/Unit]], 3), ""))</f>
        <v/>
      </c>
      <c r="E71" s="27"/>
      <c r="F71" s="28"/>
      <c r="G71" s="29"/>
      <c r="H71" s="30"/>
      <c r="I71" s="28"/>
      <c r="J71" s="24"/>
      <c r="K71" s="28"/>
    </row>
    <row r="72" spans="1:11" ht="15.75">
      <c r="A72" s="36" t="s">
        <v>12</v>
      </c>
      <c r="B72" s="39">
        <f>_xlfn.XLOOKUP(Log_Art1237[[#This Row],[Machine ]], PriceTable[Machine], PriceTable[$/Unit], "")</f>
        <v>0</v>
      </c>
      <c r="C72" s="25"/>
      <c r="D72" s="38" t="str">
        <f>IF(OR(Log_Art1237[[#This Row],[Machine ]]="", Log_Art1237[[#This Row],[Unit Amount]]=""), "", IFERROR(MAX(Log_Art1237[[#This Row],[Unit Amount]] * Log_Art1237[[#This Row],[$/Unit]], 3), ""))</f>
        <v/>
      </c>
      <c r="E72" s="23"/>
      <c r="F72" s="24"/>
      <c r="G72" s="25"/>
      <c r="H72" s="26"/>
      <c r="I72" s="24"/>
      <c r="J72" s="24"/>
      <c r="K72" s="24"/>
    </row>
    <row r="73" spans="1:11" ht="15.75">
      <c r="A73" s="36" t="s">
        <v>12</v>
      </c>
      <c r="B73" s="39">
        <f>_xlfn.XLOOKUP(Log_Art1237[[#This Row],[Machine ]], PriceTable[Machine], PriceTable[$/Unit], "")</f>
        <v>0</v>
      </c>
      <c r="C73" s="29"/>
      <c r="D73" s="38" t="str">
        <f>IF(OR(Log_Art1237[[#This Row],[Machine ]]="", Log_Art1237[[#This Row],[Unit Amount]]=""), "", IFERROR(MAX(Log_Art1237[[#This Row],[Unit Amount]] * Log_Art1237[[#This Row],[$/Unit]], 3), ""))</f>
        <v/>
      </c>
      <c r="E73" s="27"/>
      <c r="F73" s="28"/>
      <c r="G73" s="29"/>
      <c r="H73" s="30"/>
      <c r="I73" s="28"/>
      <c r="J73" s="24"/>
      <c r="K73" s="28"/>
    </row>
    <row r="74" spans="1:11" ht="15.75">
      <c r="A74" s="36" t="s">
        <v>12</v>
      </c>
      <c r="B74" s="39">
        <f>_xlfn.XLOOKUP(Log_Art1237[[#This Row],[Machine ]], PriceTable[Machine], PriceTable[$/Unit], "")</f>
        <v>0</v>
      </c>
      <c r="C74" s="25"/>
      <c r="D74" s="38" t="str">
        <f>IF(OR(Log_Art1237[[#This Row],[Machine ]]="", Log_Art1237[[#This Row],[Unit Amount]]=""), "", IFERROR(MAX(Log_Art1237[[#This Row],[Unit Amount]] * Log_Art1237[[#This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39">
        <f>_xlfn.XLOOKUP(Log_Art1237[[#This Row],[Machine ]], PriceTable[Machine], PriceTable[$/Unit], "")</f>
        <v>0</v>
      </c>
      <c r="C75" s="29"/>
      <c r="D75" s="38" t="str">
        <f>IF(OR(Log_Art1237[[#This Row],[Machine ]]="", Log_Art1237[[#This Row],[Unit Amount]]=""), "", IFERROR(MAX(Log_Art1237[[#This Row],[Unit Amount]] * Log_Art1237[[#This Row],[$/Unit]], 3), ""))</f>
        <v/>
      </c>
      <c r="E75" s="27"/>
      <c r="F75" s="28"/>
      <c r="G75" s="29"/>
      <c r="H75" s="30"/>
      <c r="I75" s="28"/>
      <c r="J75" s="24"/>
      <c r="K75" s="28"/>
    </row>
    <row r="76" spans="1:11" ht="15.75">
      <c r="A76" s="36" t="s">
        <v>12</v>
      </c>
      <c r="B76" s="39">
        <f>_xlfn.XLOOKUP(Log_Art1237[[#This Row],[Machine ]], PriceTable[Machine], PriceTable[$/Unit], "")</f>
        <v>0</v>
      </c>
      <c r="C76" s="25"/>
      <c r="D76" s="38" t="str">
        <f>IF(OR(Log_Art1237[[#This Row],[Machine ]]="", Log_Art1237[[#This Row],[Unit Amount]]=""), "", IFERROR(MAX(Log_Art1237[[#This Row],[Unit Amount]] * Log_Art1237[[#This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39">
        <f>_xlfn.XLOOKUP(Log_Art1237[[#This Row],[Machine ]], PriceTable[Machine], PriceTable[$/Unit], "")</f>
        <v>0</v>
      </c>
      <c r="C77" s="29"/>
      <c r="D77" s="38" t="str">
        <f>IF(OR(Log_Art1237[[#This Row],[Machine ]]="", Log_Art1237[[#This Row],[Unit Amount]]=""), "", IFERROR(MAX(Log_Art1237[[#This Row],[Unit Amount]] * Log_Art1237[[#This Row],[$/Unit]], 3), ""))</f>
        <v/>
      </c>
      <c r="E77" s="27"/>
      <c r="F77" s="28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_xlfn.XLOOKUP(Log_Art1237[[#This Row],[Machine ]], PriceTable[Machine], PriceTable[$/Unit], "")</f>
        <v>0</v>
      </c>
      <c r="C78" s="25"/>
      <c r="D78" s="38" t="str">
        <f>IF(OR(Log_Art1237[[#This Row],[Machine ]]="", Log_Art1237[[#This Row],[Unit Amount]]=""), "", IFERROR(MAX(Log_Art1237[[#This Row],[Unit Amount]] * Log_Art1237[[#This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39">
        <f>_xlfn.XLOOKUP(Log_Art1237[[#This Row],[Machine ]], PriceTable[Machine], PriceTable[$/Unit], "")</f>
        <v>0</v>
      </c>
      <c r="C79" s="29"/>
      <c r="D79" s="38" t="str">
        <f>IF(OR(Log_Art1237[[#This Row],[Machine ]]="", Log_Art1237[[#This Row],[Unit Amount]]=""), "", IFERROR(MAX(Log_Art1237[[#This Row],[Unit Amount]] * Log_Art1237[[#This Row],[$/Unit]], 3), ""))</f>
        <v/>
      </c>
      <c r="E79" s="27"/>
      <c r="F79" s="28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_xlfn.XLOOKUP(Log_Art1237[[#This Row],[Machine ]], PriceTable[Machine], PriceTable[$/Unit], "")</f>
        <v>0</v>
      </c>
      <c r="C80" s="25"/>
      <c r="D80" s="38" t="str">
        <f>IF(OR(Log_Art1237[[#This Row],[Machine ]]="", Log_Art1237[[#This Row],[Unit Amount]]=""), "", IFERROR(MAX(Log_Art1237[[#This Row],[Unit Amount]] * Log_Art1237[[#This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39">
        <f>_xlfn.XLOOKUP(Log_Art1237[[#This Row],[Machine ]], PriceTable[Machine], PriceTable[$/Unit], "")</f>
        <v>0</v>
      </c>
      <c r="C81" s="29"/>
      <c r="D81" s="38" t="str">
        <f>IF(OR(Log_Art1237[[#This Row],[Machine ]]="", Log_Art1237[[#This Row],[Unit Amount]]=""), "", IFERROR(MAX(Log_Art1237[[#This Row],[Unit Amount]] * Log_Art1237[[#This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_xlfn.XLOOKUP(Log_Art1237[[#This Row],[Machine ]], PriceTable[Machine], PriceTable[$/Unit], "")</f>
        <v>0</v>
      </c>
      <c r="C82" s="25"/>
      <c r="D82" s="38" t="str">
        <f>IF(OR(Log_Art1237[[#This Row],[Machine ]]="", Log_Art1237[[#This Row],[Unit Amount]]=""), "", IFERROR(MAX(Log_Art1237[[#This Row],[Unit Amount]] * Log_Art1237[[#This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13</v>
      </c>
      <c r="B83" s="40"/>
      <c r="C83" s="25"/>
      <c r="D83" s="41"/>
      <c r="E83" s="23"/>
      <c r="F83" s="24"/>
      <c r="G83" s="25"/>
      <c r="H83" s="25"/>
      <c r="I83" s="24"/>
      <c r="J83" s="24"/>
      <c r="K83" s="56">
        <f>SUBTOTAL(109,Log_Art1237[Cost])</f>
        <v>0</v>
      </c>
    </row>
  </sheetData>
  <sheetProtection sheet="1" objects="1" scenarios="1"/>
  <protectedRanges>
    <protectedRange sqref="A3:K50" name="Range1_48_48_48_48_48_1"/>
    <protectedRange sqref="B82:I82 C79:C81 B60:B81 E79:I81 D60:D81 K79:K82" name="Range1_48_48_48_48_48_1_71_3"/>
    <protectedRange sqref="C60:C78 E60:I78 J60:K60 K61:K78 J61:J82" name="Range1_48_48_48_48_48_1_1"/>
    <protectedRange sqref="A60:A82" name="Range2_23_23_23_23_23_23_23_23_23_23_23_23_20_19"/>
  </protectedRanges>
  <mergeCells count="2">
    <mergeCell ref="A1:K1"/>
    <mergeCell ref="A58:K58"/>
  </mergeCells>
  <conditionalFormatting sqref="A1 H60:K82">
    <cfRule type="containsText" dxfId="790" priority="12" operator="containsText" text="Select Machine">
      <formula>NOT(ISERROR(SEARCH("Select Machine",A1)))</formula>
    </cfRule>
  </conditionalFormatting>
  <conditionalFormatting sqref="A3:A50 C3:C50 E3:F50">
    <cfRule type="containsText" dxfId="789" priority="7" operator="containsText" text="Select Machine">
      <formula>NOT(ISERROR(SEARCH("Select Machine",A3)))</formula>
    </cfRule>
  </conditionalFormatting>
  <conditionalFormatting sqref="A3:A50 G3:G50">
    <cfRule type="cellIs" dxfId="788" priority="8" operator="equal">
      <formula>"Select Machine"</formula>
    </cfRule>
  </conditionalFormatting>
  <conditionalFormatting sqref="A60:A82">
    <cfRule type="containsText" dxfId="787" priority="4" operator="containsText" text="Select Machine">
      <formula>NOT(ISERROR(SEARCH("Select Machine",A60)))</formula>
    </cfRule>
    <cfRule type="cellIs" dxfId="786" priority="5" operator="equal">
      <formula>"Select Machine"</formula>
    </cfRule>
  </conditionalFormatting>
  <conditionalFormatting sqref="C60:C82 E60:F82">
    <cfRule type="containsText" dxfId="785" priority="1" operator="containsText" text="Select Machine">
      <formula>NOT(ISERROR(SEARCH("Select Machine",C60)))</formula>
    </cfRule>
  </conditionalFormatting>
  <conditionalFormatting sqref="G3:G50">
    <cfRule type="containsText" dxfId="784" priority="9" operator="containsText" text="Select Machine">
      <formula>NOT(ISERROR(SEARCH("Select Machine",G3)))</formula>
    </cfRule>
  </conditionalFormatting>
  <conditionalFormatting sqref="G60:G82">
    <cfRule type="cellIs" dxfId="783" priority="2" operator="equal">
      <formula>"Select Machine"</formula>
    </cfRule>
    <cfRule type="containsText" dxfId="782" priority="3" operator="containsText" text="Select Machine">
      <formula>NOT(ISERROR(SEARCH("Select Machine",G60)))</formula>
    </cfRule>
  </conditionalFormatting>
  <conditionalFormatting sqref="H3:K50">
    <cfRule type="containsText" dxfId="781" priority="6" operator="containsText" text="Select Machine">
      <formula>NOT(ISERROR(SEARCH("Select Machine",H3)))</formula>
    </cfRule>
  </conditionalFormatting>
  <conditionalFormatting sqref="K84:K85 A85:J85 A86:K1048576">
    <cfRule type="containsText" dxfId="780" priority="10" operator="containsText" text="Select Machine">
      <formula>NOT(ISERROR(SEARCH("Select Machine",A84)))</formula>
    </cfRule>
  </conditionalFormatting>
  <conditionalFormatting sqref="L1:XFD1048576 A2:K2 A53:K57 A58 A59:K59">
    <cfRule type="containsText" dxfId="779" priority="11" operator="containsText" text="Select Machine">
      <formula>NOT(ISERROR(SEARCH("Select Machine",A1)))</formula>
    </cfRule>
  </conditionalFormatting>
  <conditionalFormatting sqref="L58:XFD58">
    <cfRule type="cellIs" dxfId="778" priority="13" operator="equal">
      <formula>"Select Machine"</formula>
    </cfRule>
  </conditionalFormatting>
  <dataValidations count="9">
    <dataValidation type="list" allowBlank="1" showInputMessage="1" showErrorMessage="1" sqref="J60:J82 J3:J50" xr:uid="{52EFEF73-5841-4D31-9F38-7AB3F5EDB26E}">
      <formula1>Staff</formula1>
    </dataValidation>
    <dataValidation type="list" allowBlank="1" showInputMessage="1" showErrorMessage="1" sqref="A60:A82 A2:A50" xr:uid="{1CB17876-3655-431C-9DC5-68E70B93EAF4}">
      <formula1>MachineList</formula1>
    </dataValidation>
    <dataValidation type="list" allowBlank="1" showInputMessage="1" showErrorMessage="1" sqref="K61" xr:uid="{7E006ADD-6872-415A-9AF2-A24C43244A6E}">
      <formula1>"Conrad,Caroline,Calcea,Cooper,Quinton,Kiran,Lacie,Mahi,Rohan,Jacob,Madison"</formula1>
    </dataValidation>
    <dataValidation allowBlank="1" showInputMessage="1" showErrorMessage="1" sqref="F85:F1048576 F1:F2 F53:F59" xr:uid="{55D335A2-7DAF-45D8-8AA7-6B614DF2D98B}"/>
    <dataValidation type="list" allowBlank="1" showInputMessage="1" showErrorMessage="1" sqref="J53" xr:uid="{E34C8AE7-9072-41F2-B979-88CA17241CB1}">
      <formula1>"Conrad,Spencer,Kiran,Jack Wayne,Morgan"</formula1>
    </dataValidation>
    <dataValidation type="list" allowBlank="1" showInputMessage="1" showErrorMessage="1" sqref="A53 A85" xr:uid="{04D0B883-0101-448B-B206-9CA8AA596F99}">
      <formula1>"Prusa,Ultimaker S5,Ultimaker 2+,Raise3D Pro 2 Plus,Markforged Onyx,Form 2, Form 2 Specialty,Plasma,Forest CNC"</formula1>
    </dataValidation>
    <dataValidation type="list" allowBlank="1" showInputMessage="1" showErrorMessage="1" sqref="A59" xr:uid="{CD4B3317-BD65-450B-A25C-26E5BBC8095A}">
      <formula1>"Prusa,Raise3D Pro 2 Plus,Ultimaker S5,Ultimaker 2+,Markforged Onyx,Form 2,Form 2 Specialty"</formula1>
    </dataValidation>
    <dataValidation type="list" allowBlank="1" showInputMessage="1" showErrorMessage="1" sqref="K53 K60:K82 K3:K50" xr:uid="{003811B6-E03F-4FE3-99DF-EB96200C2298}">
      <formula1>"Open,Closed"</formula1>
    </dataValidation>
    <dataValidation type="whole" allowBlank="1" showInputMessage="1" showErrorMessage="1" sqref="F60:F82 I53 I60:I82 I85 F3:F50 I3:I50" xr:uid="{8A695B1F-F6D2-4913-9FA6-36D7F6CD6767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C4F0-F42D-48B4-AF47-83B8C37C3019}">
  <dimension ref="A1:K84"/>
  <sheetViews>
    <sheetView topLeftCell="A33" zoomScaleNormal="100" workbookViewId="0">
      <selection activeCell="D5" sqref="D5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30.85546875" style="6" bestFit="1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_xlfn.XLOOKUP(Log_Atkinson14518[[#This Row],[Machine ]], PriceTable[Machine], PriceTable[$/Unit], "")</f>
        <v>0.1</v>
      </c>
      <c r="C3" s="25">
        <v>12</v>
      </c>
      <c r="D3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3" s="23" t="s">
        <v>17</v>
      </c>
      <c r="F3" s="24"/>
      <c r="G3" s="25" t="s">
        <v>26</v>
      </c>
      <c r="H3" s="26">
        <v>45931</v>
      </c>
      <c r="I3" s="24">
        <f>ROW() - ROW(Log_Atkinson14518[[#Headers],[Transaction Number]]) + 24</f>
        <v>25</v>
      </c>
      <c r="J3" s="24" t="s">
        <v>23</v>
      </c>
      <c r="K3" s="24" t="s">
        <v>20</v>
      </c>
    </row>
    <row r="4" spans="1:11" ht="15.75">
      <c r="A4" s="36" t="s">
        <v>16</v>
      </c>
      <c r="B4" s="37">
        <f>_xlfn.XLOOKUP(Log_Atkinson14518[[#This Row],[Machine ]], PriceTable[Machine], PriceTable[$/Unit], "")</f>
        <v>0.1</v>
      </c>
      <c r="C4" s="29">
        <v>113</v>
      </c>
      <c r="D4" s="38">
        <f>IF(OR(Log_Atkinson14518[[#This Row],[Machine ]]="", Log_Atkinson14518[[#This Row],[Unit Amount]]=""), "", IFERROR(MAX(Log_Atkinson14518[[#This Row],[Unit Amount]] * Log_Atkinson14518[[#This Row],[$/Unit]], 3), ""))</f>
        <v>11.3</v>
      </c>
      <c r="E4" s="27" t="s">
        <v>41</v>
      </c>
      <c r="F4" s="28"/>
      <c r="G4" s="29" t="s">
        <v>26</v>
      </c>
      <c r="H4" s="30">
        <v>45933</v>
      </c>
      <c r="I4" s="28">
        <f>ROW() - ROW(Log_Atkinson14518[[#Headers],[Transaction Number]]) + 24</f>
        <v>26</v>
      </c>
      <c r="J4" s="24" t="s">
        <v>27</v>
      </c>
      <c r="K4" s="28" t="s">
        <v>20</v>
      </c>
    </row>
    <row r="5" spans="1:11" ht="15.75">
      <c r="A5" s="36" t="s">
        <v>16</v>
      </c>
      <c r="B5" s="39">
        <f>_xlfn.XLOOKUP(Log_Atkinson14518[[#This Row],[Machine ]], PriceTable[Machine], PriceTable[$/Unit], "")</f>
        <v>0.1</v>
      </c>
      <c r="C5" s="25">
        <v>727</v>
      </c>
      <c r="D5" s="38">
        <v>60</v>
      </c>
      <c r="E5" s="23" t="s">
        <v>42</v>
      </c>
      <c r="F5" s="24"/>
      <c r="G5" s="25" t="s">
        <v>26</v>
      </c>
      <c r="H5" s="26">
        <v>45933</v>
      </c>
      <c r="I5" s="24">
        <f>ROW() - ROW(Log_Atkinson14518[[#Headers],[Transaction Number]]) + 24</f>
        <v>27</v>
      </c>
      <c r="J5" s="24" t="s">
        <v>19</v>
      </c>
      <c r="K5" s="24" t="s">
        <v>20</v>
      </c>
    </row>
    <row r="6" spans="1:11" ht="15.75">
      <c r="A6" s="36" t="s">
        <v>16</v>
      </c>
      <c r="B6" s="39">
        <f>_xlfn.XLOOKUP(Log_Atkinson14518[[#This Row],[Machine ]], PriceTable[Machine], PriceTable[$/Unit], "")</f>
        <v>0.1</v>
      </c>
      <c r="C6" s="29">
        <v>950</v>
      </c>
      <c r="D6" s="38">
        <f>IF(OR(Log_Atkinson14518[[#This Row],[Machine ]]="", Log_Atkinson14518[[#This Row],[Unit Amount]]=""), "", IFERROR(MAX(Log_Atkinson14518[[#This Row],[Unit Amount]] * Log_Atkinson14518[[#This Row],[$/Unit]], 3), ""))</f>
        <v>95</v>
      </c>
      <c r="E6" s="27" t="s">
        <v>43</v>
      </c>
      <c r="F6" s="28"/>
      <c r="G6" s="29" t="s">
        <v>44</v>
      </c>
      <c r="H6" s="30">
        <v>45936</v>
      </c>
      <c r="I6" s="28">
        <f>ROW() - ROW(Log_Atkinson14518[[#Headers],[Transaction Number]]) + 24</f>
        <v>28</v>
      </c>
      <c r="J6" s="24" t="s">
        <v>45</v>
      </c>
      <c r="K6" s="28" t="s">
        <v>20</v>
      </c>
    </row>
    <row r="7" spans="1:11" ht="15.75">
      <c r="A7" s="36" t="s">
        <v>16</v>
      </c>
      <c r="B7" s="37">
        <f>_xlfn.XLOOKUP(Log_Atkinson14518[[#This Row],[Machine ]], PriceTable[Machine], PriceTable[$/Unit], "")</f>
        <v>0.1</v>
      </c>
      <c r="C7" s="25">
        <v>352</v>
      </c>
      <c r="D7" s="38">
        <f>IF(OR(Log_Atkinson14518[[#This Row],[Machine ]]="", Log_Atkinson14518[[#This Row],[Unit Amount]]=""), "", IFERROR(MAX(Log_Atkinson14518[[#This Row],[Unit Amount]] * Log_Atkinson14518[[#This Row],[$/Unit]], 3), ""))</f>
        <v>35.200000000000003</v>
      </c>
      <c r="E7" s="23" t="s">
        <v>33</v>
      </c>
      <c r="F7" s="24"/>
      <c r="G7" s="29" t="s">
        <v>36</v>
      </c>
      <c r="H7" s="26">
        <v>45936</v>
      </c>
      <c r="I7" s="24">
        <f>ROW() - ROW(Log_Atkinson14518[[#Headers],[Transaction Number]]) + 24</f>
        <v>29</v>
      </c>
      <c r="J7" s="24" t="s">
        <v>40</v>
      </c>
      <c r="K7" s="24" t="s">
        <v>20</v>
      </c>
    </row>
    <row r="8" spans="1:11" ht="15.75">
      <c r="A8" s="36" t="s">
        <v>16</v>
      </c>
      <c r="B8" s="37">
        <f>_xlfn.XLOOKUP(Log_Atkinson14518[[#This Row],[Machine ]], PriceTable[Machine], PriceTable[$/Unit], "")</f>
        <v>0.1</v>
      </c>
      <c r="C8" s="29">
        <v>80</v>
      </c>
      <c r="D8" s="38">
        <v>8</v>
      </c>
      <c r="E8" s="27" t="s">
        <v>43</v>
      </c>
      <c r="F8" s="28"/>
      <c r="G8" s="29" t="s">
        <v>46</v>
      </c>
      <c r="H8" s="30">
        <v>45936</v>
      </c>
      <c r="I8" s="28">
        <f>ROW() - ROW(Log_Atkinson14518[[#Headers],[Transaction Number]]) + 24</f>
        <v>30</v>
      </c>
      <c r="J8" s="24" t="s">
        <v>47</v>
      </c>
      <c r="K8" s="28" t="s">
        <v>20</v>
      </c>
    </row>
    <row r="9" spans="1:11" ht="15.75">
      <c r="A9" s="36" t="s">
        <v>16</v>
      </c>
      <c r="B9" s="39">
        <f>_xlfn.XLOOKUP(Log_Atkinson14518[[#This Row],[Machine ]], PriceTable[Machine], PriceTable[$/Unit], "")</f>
        <v>0.1</v>
      </c>
      <c r="C9" s="25">
        <v>79</v>
      </c>
      <c r="D9" s="38">
        <f>IF(OR(Log_Atkinson14518[[#This Row],[Machine ]]="", Log_Atkinson14518[[#This Row],[Unit Amount]]=""), "", IFERROR(MAX(Log_Atkinson14518[[#This Row],[Unit Amount]] * Log_Atkinson14518[[#This Row],[$/Unit]], 3), ""))</f>
        <v>7.9</v>
      </c>
      <c r="E9" s="23" t="s">
        <v>38</v>
      </c>
      <c r="F9" s="24"/>
      <c r="G9" s="25" t="s">
        <v>26</v>
      </c>
      <c r="H9" s="26">
        <v>45937</v>
      </c>
      <c r="I9" s="24">
        <f>ROW() - ROW(Log_Atkinson14518[[#Headers],[Transaction Number]]) + 24</f>
        <v>31</v>
      </c>
      <c r="J9" s="24" t="s">
        <v>19</v>
      </c>
      <c r="K9" s="24" t="s">
        <v>20</v>
      </c>
    </row>
    <row r="10" spans="1:11" ht="15.75">
      <c r="A10" s="36" t="s">
        <v>16</v>
      </c>
      <c r="B10" s="37">
        <f>_xlfn.XLOOKUP(Log_Atkinson14518[[#This Row],[Machine ]], PriceTable[Machine], PriceTable[$/Unit], "")</f>
        <v>0.1</v>
      </c>
      <c r="C10" s="29">
        <v>7</v>
      </c>
      <c r="D10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10" s="27" t="s">
        <v>17</v>
      </c>
      <c r="F10" s="28"/>
      <c r="G10" s="29" t="s">
        <v>26</v>
      </c>
      <c r="H10" s="30">
        <v>45938</v>
      </c>
      <c r="I10" s="28">
        <f>ROW() - ROW(Log_Atkinson14518[[#Headers],[Transaction Number]]) + 24</f>
        <v>32</v>
      </c>
      <c r="J10" s="24" t="s">
        <v>40</v>
      </c>
      <c r="K10" s="28" t="s">
        <v>20</v>
      </c>
    </row>
    <row r="11" spans="1:11" ht="15.75">
      <c r="A11" s="36" t="s">
        <v>16</v>
      </c>
      <c r="B11" s="39">
        <f>_xlfn.XLOOKUP(Log_Atkinson14518[[#This Row],[Machine ]], PriceTable[Machine], PriceTable[$/Unit], "")</f>
        <v>0.1</v>
      </c>
      <c r="C11" s="25">
        <v>106</v>
      </c>
      <c r="D11" s="38">
        <f>IF(OR(Log_Atkinson14518[[#This Row],[Machine ]]="", Log_Atkinson14518[[#This Row],[Unit Amount]]=""), "", IFERROR(MAX(Log_Atkinson14518[[#This Row],[Unit Amount]] * Log_Atkinson14518[[#This Row],[$/Unit]], 3), ""))</f>
        <v>10.600000000000001</v>
      </c>
      <c r="E11" s="23" t="s">
        <v>48</v>
      </c>
      <c r="F11" s="24"/>
      <c r="G11" s="25" t="s">
        <v>26</v>
      </c>
      <c r="H11" s="26">
        <v>45939</v>
      </c>
      <c r="I11" s="24">
        <f>ROW() - ROW(Log_Atkinson14518[[#Headers],[Transaction Number]]) + 24</f>
        <v>33</v>
      </c>
      <c r="J11" s="24" t="s">
        <v>49</v>
      </c>
      <c r="K11" s="24" t="s">
        <v>20</v>
      </c>
    </row>
    <row r="12" spans="1:11" ht="15.75">
      <c r="A12" s="36" t="s">
        <v>16</v>
      </c>
      <c r="B12" s="37">
        <f>_xlfn.XLOOKUP(Log_Atkinson14518[[#This Row],[Machine ]], PriceTable[Machine], PriceTable[$/Unit], "")</f>
        <v>0.1</v>
      </c>
      <c r="C12" s="29">
        <v>287</v>
      </c>
      <c r="D12" s="38">
        <v>28.7</v>
      </c>
      <c r="E12" s="27" t="s">
        <v>50</v>
      </c>
      <c r="F12" s="28"/>
      <c r="G12" s="29" t="s">
        <v>44</v>
      </c>
      <c r="H12" s="30">
        <v>45939</v>
      </c>
      <c r="I12" s="28">
        <f>ROW() - ROW(Log_Atkinson14518[[#Headers],[Transaction Number]]) + 24</f>
        <v>34</v>
      </c>
      <c r="J12" s="24" t="s">
        <v>32</v>
      </c>
      <c r="K12" s="28" t="s">
        <v>20</v>
      </c>
    </row>
    <row r="13" spans="1:11" ht="15.75">
      <c r="A13" s="36" t="s">
        <v>16</v>
      </c>
      <c r="B13" s="39">
        <f>_xlfn.XLOOKUP(Log_Atkinson14518[[#This Row],[Machine ]], PriceTable[Machine], PriceTable[$/Unit], "")</f>
        <v>0.1</v>
      </c>
      <c r="C13" s="25">
        <v>134</v>
      </c>
      <c r="D13" s="38">
        <v>13.4</v>
      </c>
      <c r="E13" s="23" t="s">
        <v>51</v>
      </c>
      <c r="F13" s="24"/>
      <c r="G13" s="25" t="s">
        <v>44</v>
      </c>
      <c r="H13" s="26">
        <v>45939</v>
      </c>
      <c r="I13" s="24">
        <f>ROW() - ROW(Log_Atkinson14518[[#Headers],[Transaction Number]]) + 24</f>
        <v>35</v>
      </c>
      <c r="J13" s="24" t="s">
        <v>19</v>
      </c>
      <c r="K13" s="24" t="s">
        <v>20</v>
      </c>
    </row>
    <row r="14" spans="1:11" ht="15.75">
      <c r="A14" s="36" t="s">
        <v>16</v>
      </c>
      <c r="B14" s="37">
        <f>_xlfn.XLOOKUP(Log_Atkinson14518[[#This Row],[Machine ]], PriceTable[Machine], PriceTable[$/Unit], "")</f>
        <v>0.1</v>
      </c>
      <c r="C14" s="29">
        <v>247</v>
      </c>
      <c r="D14" s="38">
        <f>IF(OR(Log_Atkinson14518[[#This Row],[Machine ]]="", Log_Atkinson14518[[#This Row],[Unit Amount]]=""), "", IFERROR(MAX(Log_Atkinson14518[[#This Row],[Unit Amount]] * Log_Atkinson14518[[#This Row],[$/Unit]], 3), ""))</f>
        <v>24.700000000000003</v>
      </c>
      <c r="E14" s="27" t="s">
        <v>52</v>
      </c>
      <c r="F14" s="28"/>
      <c r="G14" s="29" t="s">
        <v>53</v>
      </c>
      <c r="H14" s="30">
        <v>45940</v>
      </c>
      <c r="I14" s="28">
        <f>ROW() - ROW(Log_Atkinson14518[[#Headers],[Transaction Number]]) + 24</f>
        <v>36</v>
      </c>
      <c r="J14" s="24" t="s">
        <v>23</v>
      </c>
      <c r="K14" s="28" t="s">
        <v>20</v>
      </c>
    </row>
    <row r="15" spans="1:11" ht="15.75">
      <c r="A15" s="36" t="s">
        <v>16</v>
      </c>
      <c r="B15" s="39">
        <f>_xlfn.XLOOKUP(Log_Atkinson14518[[#This Row],[Machine ]], PriceTable[Machine], PriceTable[$/Unit], "")</f>
        <v>0.1</v>
      </c>
      <c r="C15" s="25">
        <v>26</v>
      </c>
      <c r="D15" s="38">
        <v>3</v>
      </c>
      <c r="E15" s="23" t="s">
        <v>48</v>
      </c>
      <c r="F15" s="24"/>
      <c r="G15" s="25" t="s">
        <v>54</v>
      </c>
      <c r="H15" s="26">
        <v>45940</v>
      </c>
      <c r="I15" s="24">
        <f>ROW() - ROW(Log_Atkinson14518[[#Headers],[Transaction Number]]) + 24</f>
        <v>37</v>
      </c>
      <c r="J15" s="24" t="s">
        <v>45</v>
      </c>
      <c r="K15" s="24" t="s">
        <v>20</v>
      </c>
    </row>
    <row r="16" spans="1:11" ht="15.75">
      <c r="A16" s="36" t="s">
        <v>16</v>
      </c>
      <c r="B16" s="37">
        <f>_xlfn.XLOOKUP(Log_Atkinson14518[[#This Row],[Machine ]], PriceTable[Machine], PriceTable[$/Unit], "")</f>
        <v>0.1</v>
      </c>
      <c r="C16" s="29">
        <v>262</v>
      </c>
      <c r="D16" s="38">
        <v>14.6</v>
      </c>
      <c r="E16" s="27" t="s">
        <v>43</v>
      </c>
      <c r="F16" s="28"/>
      <c r="G16" s="29" t="s">
        <v>44</v>
      </c>
      <c r="H16" s="30">
        <v>45940</v>
      </c>
      <c r="I16" s="28">
        <f>ROW() - ROW(Log_Atkinson14518[[#Headers],[Transaction Number]]) + 24</f>
        <v>38</v>
      </c>
      <c r="J16" s="24" t="s">
        <v>19</v>
      </c>
      <c r="K16" s="28" t="s">
        <v>20</v>
      </c>
    </row>
    <row r="17" spans="1:11" ht="15.75">
      <c r="A17" s="36" t="s">
        <v>16</v>
      </c>
      <c r="B17" s="39">
        <f>_xlfn.XLOOKUP(Log_Atkinson14518[[#This Row],[Machine ]], PriceTable[Machine], PriceTable[$/Unit], "")</f>
        <v>0.1</v>
      </c>
      <c r="C17" s="25">
        <v>263</v>
      </c>
      <c r="D17" s="38">
        <f>IF(OR(Log_Atkinson14518[[#This Row],[Machine ]]="", Log_Atkinson14518[[#This Row],[Unit Amount]]=""), "", IFERROR(MAX(Log_Atkinson14518[[#This Row],[Unit Amount]] * Log_Atkinson14518[[#This Row],[$/Unit]], 3), ""))</f>
        <v>26.3</v>
      </c>
      <c r="E17" s="23" t="s">
        <v>55</v>
      </c>
      <c r="F17" s="24"/>
      <c r="G17" s="25" t="s">
        <v>53</v>
      </c>
      <c r="H17" s="26">
        <v>45940</v>
      </c>
      <c r="I17" s="24">
        <f>ROW() - ROW(Log_Atkinson14518[[#Headers],[Transaction Number]]) + 24</f>
        <v>39</v>
      </c>
      <c r="J17" s="24" t="s">
        <v>19</v>
      </c>
      <c r="K17" s="24" t="s">
        <v>20</v>
      </c>
    </row>
    <row r="18" spans="1:11" ht="15.75">
      <c r="A18" s="36" t="s">
        <v>16</v>
      </c>
      <c r="B18" s="37">
        <f>_xlfn.XLOOKUP(Log_Atkinson14518[[#This Row],[Machine ]], PriceTable[Machine], PriceTable[$/Unit], "")</f>
        <v>0.1</v>
      </c>
      <c r="C18" s="29">
        <v>263</v>
      </c>
      <c r="D18" s="38">
        <f>IF(OR(Log_Atkinson14518[[#This Row],[Machine ]]="", Log_Atkinson14518[[#This Row],[Unit Amount]]=""), "", IFERROR(MAX(Log_Atkinson14518[[#This Row],[Unit Amount]] * Log_Atkinson14518[[#This Row],[$/Unit]], 3), ""))</f>
        <v>26.3</v>
      </c>
      <c r="E18" s="27" t="s">
        <v>56</v>
      </c>
      <c r="F18" s="28"/>
      <c r="G18" s="29" t="s">
        <v>53</v>
      </c>
      <c r="H18" s="30">
        <v>45940</v>
      </c>
      <c r="I18" s="28">
        <f>ROW() - ROW(Log_Atkinson14518[[#Headers],[Transaction Number]]) + 24</f>
        <v>40</v>
      </c>
      <c r="J18" s="24" t="s">
        <v>19</v>
      </c>
      <c r="K18" s="28" t="s">
        <v>20</v>
      </c>
    </row>
    <row r="19" spans="1:11" ht="15.75">
      <c r="A19" s="36" t="s">
        <v>16</v>
      </c>
      <c r="B19" s="39">
        <f>_xlfn.XLOOKUP(Log_Atkinson14518[[#This Row],[Machine ]], PriceTable[Machine], PriceTable[$/Unit], "")</f>
        <v>0.1</v>
      </c>
      <c r="C19" s="25">
        <v>22</v>
      </c>
      <c r="D19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19" s="23" t="s">
        <v>57</v>
      </c>
      <c r="F19" s="24"/>
      <c r="G19" s="25" t="s">
        <v>58</v>
      </c>
      <c r="H19" s="26">
        <v>45943</v>
      </c>
      <c r="I19" s="24">
        <v>41</v>
      </c>
      <c r="J19" s="24" t="s">
        <v>30</v>
      </c>
      <c r="K19" s="24" t="s">
        <v>20</v>
      </c>
    </row>
    <row r="20" spans="1:11" ht="15.75">
      <c r="A20" s="36" t="s">
        <v>16</v>
      </c>
      <c r="B20" s="37">
        <f>_xlfn.XLOOKUP(Log_Atkinson14518[[#This Row],[Machine ]], PriceTable[Machine], PriceTable[$/Unit], "")</f>
        <v>0.1</v>
      </c>
      <c r="C20" s="29">
        <v>49</v>
      </c>
      <c r="D20" s="38">
        <f>IF(OR(Log_Atkinson14518[[#This Row],[Machine ]]="", Log_Atkinson14518[[#This Row],[Unit Amount]]=""), "", IFERROR(MAX(Log_Atkinson14518[[#This Row],[Unit Amount]] * Log_Atkinson14518[[#This Row],[$/Unit]], 3), ""))</f>
        <v>4.9000000000000004</v>
      </c>
      <c r="E20" s="27" t="s">
        <v>59</v>
      </c>
      <c r="F20" s="28"/>
      <c r="G20" s="29" t="s">
        <v>60</v>
      </c>
      <c r="H20" s="30">
        <v>45943</v>
      </c>
      <c r="I20" s="28">
        <v>42</v>
      </c>
      <c r="J20" s="24" t="s">
        <v>30</v>
      </c>
      <c r="K20" s="28" t="s">
        <v>20</v>
      </c>
    </row>
    <row r="21" spans="1:11" ht="15.75">
      <c r="A21" s="36" t="s">
        <v>16</v>
      </c>
      <c r="B21" s="39">
        <f>_xlfn.XLOOKUP(Log_Atkinson14518[[#This Row],[Machine ]], PriceTable[Machine], PriceTable[$/Unit], "")</f>
        <v>0.1</v>
      </c>
      <c r="C21" s="25">
        <v>439</v>
      </c>
      <c r="D21" s="38">
        <f>IF(OR(Log_Atkinson14518[[#This Row],[Machine ]]="", Log_Atkinson14518[[#This Row],[Unit Amount]]=""), "", IFERROR(MAX(Log_Atkinson14518[[#This Row],[Unit Amount]] * Log_Atkinson14518[[#This Row],[$/Unit]], 3), ""))</f>
        <v>43.900000000000006</v>
      </c>
      <c r="E21" s="23" t="s">
        <v>61</v>
      </c>
      <c r="F21" s="24"/>
      <c r="G21" s="25" t="s">
        <v>62</v>
      </c>
      <c r="H21" s="26">
        <v>45944</v>
      </c>
      <c r="I21" s="24">
        <v>43</v>
      </c>
      <c r="J21" s="24" t="s">
        <v>32</v>
      </c>
      <c r="K21" s="24" t="s">
        <v>20</v>
      </c>
    </row>
    <row r="22" spans="1:11" ht="15.75">
      <c r="A22" s="36" t="s">
        <v>16</v>
      </c>
      <c r="B22" s="37">
        <f>_xlfn.XLOOKUP(Log_Atkinson14518[[#This Row],[Machine ]], PriceTable[Machine], PriceTable[$/Unit], "")</f>
        <v>0.1</v>
      </c>
      <c r="C22" s="29">
        <v>154</v>
      </c>
      <c r="D22" s="38">
        <f>IF(OR(Log_Atkinson14518[[#This Row],[Machine ]]="", Log_Atkinson14518[[#This Row],[Unit Amount]]=""), "", IFERROR(MAX(Log_Atkinson14518[[#This Row],[Unit Amount]] * Log_Atkinson14518[[#This Row],[$/Unit]], 3), ""))</f>
        <v>15.4</v>
      </c>
      <c r="E22" s="27" t="s">
        <v>63</v>
      </c>
      <c r="F22" s="28"/>
      <c r="G22" s="29" t="s">
        <v>25</v>
      </c>
      <c r="H22" s="30">
        <v>45945</v>
      </c>
      <c r="I22" s="28">
        <v>44</v>
      </c>
      <c r="J22" s="24" t="s">
        <v>23</v>
      </c>
      <c r="K22" s="28" t="s">
        <v>20</v>
      </c>
    </row>
    <row r="23" spans="1:11" ht="15.75">
      <c r="A23" s="36" t="s">
        <v>16</v>
      </c>
      <c r="B23" s="39">
        <f>_xlfn.XLOOKUP(Log_Atkinson14518[[#This Row],[Machine ]], PriceTable[Machine], PriceTable[$/Unit], "")</f>
        <v>0.1</v>
      </c>
      <c r="C23" s="25">
        <v>135</v>
      </c>
      <c r="D23" s="38">
        <f>IF(OR(Log_Atkinson14518[[#This Row],[Machine ]]="", Log_Atkinson14518[[#This Row],[Unit Amount]]=""), "", IFERROR(MAX(Log_Atkinson14518[[#This Row],[Unit Amount]] * Log_Atkinson14518[[#This Row],[$/Unit]], 3), ""))</f>
        <v>13.5</v>
      </c>
      <c r="E23" s="23" t="s">
        <v>61</v>
      </c>
      <c r="F23" s="24"/>
      <c r="G23" s="25" t="s">
        <v>62</v>
      </c>
      <c r="H23" s="26">
        <v>45945</v>
      </c>
      <c r="I23" s="24">
        <v>45</v>
      </c>
      <c r="J23" s="24" t="s">
        <v>23</v>
      </c>
      <c r="K23" s="24" t="s">
        <v>20</v>
      </c>
    </row>
    <row r="24" spans="1:11" ht="15.75">
      <c r="A24" s="36" t="s">
        <v>16</v>
      </c>
      <c r="B24" s="37">
        <f>_xlfn.XLOOKUP(Log_Atkinson14518[[#This Row],[Machine ]], PriceTable[Machine], PriceTable[$/Unit], "")</f>
        <v>0.1</v>
      </c>
      <c r="C24" s="29">
        <v>18</v>
      </c>
      <c r="D24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24" s="27" t="s">
        <v>61</v>
      </c>
      <c r="F24" s="28"/>
      <c r="G24" s="29" t="s">
        <v>62</v>
      </c>
      <c r="H24" s="30">
        <v>45945</v>
      </c>
      <c r="I24" s="28">
        <v>46</v>
      </c>
      <c r="J24" s="24" t="s">
        <v>23</v>
      </c>
      <c r="K24" s="28" t="s">
        <v>20</v>
      </c>
    </row>
    <row r="25" spans="1:11" ht="15.75">
      <c r="A25" s="36" t="s">
        <v>16</v>
      </c>
      <c r="B25" s="39">
        <f>_xlfn.XLOOKUP(Log_Atkinson14518[[#This Row],[Machine ]], PriceTable[Machine], PriceTable[$/Unit], "")</f>
        <v>0.1</v>
      </c>
      <c r="C25" s="25">
        <v>397.7</v>
      </c>
      <c r="D25" s="38">
        <v>39.770000000000003</v>
      </c>
      <c r="E25" s="23" t="s">
        <v>17</v>
      </c>
      <c r="F25" s="24"/>
      <c r="G25" s="25" t="s">
        <v>64</v>
      </c>
      <c r="H25" s="26">
        <v>45945</v>
      </c>
      <c r="I25" s="24">
        <v>47</v>
      </c>
      <c r="J25" s="24" t="s">
        <v>23</v>
      </c>
      <c r="K25" s="24" t="s">
        <v>20</v>
      </c>
    </row>
    <row r="26" spans="1:11" ht="15.75">
      <c r="A26" s="36" t="s">
        <v>16</v>
      </c>
      <c r="B26" s="37">
        <f>_xlfn.XLOOKUP(Log_Atkinson14518[[#This Row],[Machine ]], PriceTable[Machine], PriceTable[$/Unit], "")</f>
        <v>0.1</v>
      </c>
      <c r="C26" s="29">
        <v>26.79</v>
      </c>
      <c r="D26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26" s="27" t="s">
        <v>57</v>
      </c>
      <c r="F26" s="28"/>
      <c r="G26" s="29" t="s">
        <v>58</v>
      </c>
      <c r="H26" s="30">
        <v>45950</v>
      </c>
      <c r="I26" s="28">
        <v>48</v>
      </c>
      <c r="J26" s="24" t="s">
        <v>23</v>
      </c>
      <c r="K26" s="28" t="s">
        <v>20</v>
      </c>
    </row>
    <row r="27" spans="1:11" ht="15.75">
      <c r="A27" s="36" t="s">
        <v>16</v>
      </c>
      <c r="B27" s="39">
        <f>_xlfn.XLOOKUP(Log_Atkinson14518[[#This Row],[Machine ]], PriceTable[Machine], PriceTable[$/Unit], "")</f>
        <v>0.1</v>
      </c>
      <c r="C27" s="25">
        <v>16</v>
      </c>
      <c r="D27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27" s="27" t="s">
        <v>57</v>
      </c>
      <c r="F27" s="24"/>
      <c r="G27" s="25" t="s">
        <v>58</v>
      </c>
      <c r="H27" s="26">
        <v>45951</v>
      </c>
      <c r="I27" s="24">
        <v>49</v>
      </c>
      <c r="J27" s="24" t="s">
        <v>27</v>
      </c>
      <c r="K27" s="24" t="s">
        <v>20</v>
      </c>
    </row>
    <row r="28" spans="1:11" ht="15.75">
      <c r="A28" s="36" t="s">
        <v>16</v>
      </c>
      <c r="B28" s="37">
        <f>_xlfn.XLOOKUP(Log_Atkinson14518[[#This Row],[Machine ]], PriceTable[Machine], PriceTable[$/Unit], "")</f>
        <v>0.1</v>
      </c>
      <c r="C28" s="29">
        <v>45</v>
      </c>
      <c r="D28" s="38">
        <f>IF(OR(Log_Atkinson14518[[#This Row],[Machine ]]="", Log_Atkinson14518[[#This Row],[Unit Amount]]=""), "", IFERROR(MAX(Log_Atkinson14518[[#This Row],[Unit Amount]] * Log_Atkinson14518[[#This Row],[$/Unit]], 3), ""))</f>
        <v>4.5</v>
      </c>
      <c r="E28" s="27" t="s">
        <v>50</v>
      </c>
      <c r="F28" s="28"/>
      <c r="G28" s="29" t="s">
        <v>65</v>
      </c>
      <c r="H28" s="30">
        <v>45951</v>
      </c>
      <c r="I28" s="28">
        <v>50</v>
      </c>
      <c r="J28" s="24" t="s">
        <v>32</v>
      </c>
      <c r="K28" s="28" t="s">
        <v>20</v>
      </c>
    </row>
    <row r="29" spans="1:11" ht="15.75">
      <c r="A29" s="36" t="s">
        <v>16</v>
      </c>
      <c r="B29" s="39">
        <f>_xlfn.XLOOKUP(Log_Atkinson14518[[#This Row],[Machine ]], PriceTable[Machine], PriceTable[$/Unit], "")</f>
        <v>0.1</v>
      </c>
      <c r="C29" s="25">
        <v>25</v>
      </c>
      <c r="D29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29" s="23" t="s">
        <v>48</v>
      </c>
      <c r="F29" s="24"/>
      <c r="G29" s="25" t="s">
        <v>54</v>
      </c>
      <c r="H29" s="26">
        <v>45952</v>
      </c>
      <c r="I29" s="24">
        <v>51</v>
      </c>
      <c r="J29" s="24" t="s">
        <v>23</v>
      </c>
      <c r="K29" s="24" t="s">
        <v>20</v>
      </c>
    </row>
    <row r="30" spans="1:11" ht="15.75">
      <c r="A30" s="36" t="s">
        <v>16</v>
      </c>
      <c r="B30" s="37">
        <f>_xlfn.XLOOKUP(Log_Atkinson14518[[#This Row],[Machine ]], PriceTable[Machine], PriceTable[$/Unit], "")</f>
        <v>0.1</v>
      </c>
      <c r="C30" s="29">
        <v>41</v>
      </c>
      <c r="D30" s="38">
        <f>IF(OR(Log_Atkinson14518[[#This Row],[Machine ]]="", Log_Atkinson14518[[#This Row],[Unit Amount]]=""), "", IFERROR(MAX(Log_Atkinson14518[[#This Row],[Unit Amount]] * Log_Atkinson14518[[#This Row],[$/Unit]], 3), ""))</f>
        <v>4.1000000000000005</v>
      </c>
      <c r="E30" s="27" t="s">
        <v>51</v>
      </c>
      <c r="F30" s="28"/>
      <c r="G30" s="29" t="s">
        <v>66</v>
      </c>
      <c r="H30" s="30">
        <v>45952</v>
      </c>
      <c r="I30" s="28">
        <v>52</v>
      </c>
      <c r="J30" s="24" t="s">
        <v>30</v>
      </c>
      <c r="K30" s="28" t="s">
        <v>20</v>
      </c>
    </row>
    <row r="31" spans="1:11" ht="15.75">
      <c r="A31" s="36" t="s">
        <v>16</v>
      </c>
      <c r="B31" s="39">
        <f>_xlfn.XLOOKUP(Log_Atkinson14518[[#This Row],[Machine ]], PriceTable[Machine], PriceTable[$/Unit], "")</f>
        <v>0.1</v>
      </c>
      <c r="C31" s="25">
        <v>31</v>
      </c>
      <c r="D31" s="38">
        <f>IF(OR(Log_Atkinson14518[[#This Row],[Machine ]]="", Log_Atkinson14518[[#This Row],[Unit Amount]]=""), "", IFERROR(MAX(Log_Atkinson14518[[#This Row],[Unit Amount]] * Log_Atkinson14518[[#This Row],[$/Unit]], 3), ""))</f>
        <v>3.1</v>
      </c>
      <c r="E31" s="23" t="s">
        <v>57</v>
      </c>
      <c r="F31" s="24"/>
      <c r="G31" s="25" t="s">
        <v>58</v>
      </c>
      <c r="H31" s="26">
        <v>45952</v>
      </c>
      <c r="I31" s="24">
        <v>53</v>
      </c>
      <c r="J31" s="24" t="s">
        <v>67</v>
      </c>
      <c r="K31" s="24" t="s">
        <v>20</v>
      </c>
    </row>
    <row r="32" spans="1:11" ht="15.75">
      <c r="A32" s="36" t="s">
        <v>16</v>
      </c>
      <c r="B32" s="37">
        <f>_xlfn.XLOOKUP(Log_Atkinson14518[[#This Row],[Machine ]], PriceTable[Machine], PriceTable[$/Unit], "")</f>
        <v>0.1</v>
      </c>
      <c r="C32" s="29">
        <v>114</v>
      </c>
      <c r="D32" s="38">
        <v>11.4</v>
      </c>
      <c r="E32" s="27" t="s">
        <v>68</v>
      </c>
      <c r="F32" s="28"/>
      <c r="G32" s="29" t="s">
        <v>60</v>
      </c>
      <c r="H32" s="30">
        <v>45953</v>
      </c>
      <c r="I32" s="28">
        <v>54</v>
      </c>
      <c r="J32" s="24" t="s">
        <v>67</v>
      </c>
      <c r="K32" s="28" t="s">
        <v>20</v>
      </c>
    </row>
    <row r="33" spans="1:11" ht="15.75">
      <c r="A33" s="36" t="s">
        <v>16</v>
      </c>
      <c r="B33" s="39">
        <f>_xlfn.XLOOKUP(Log_Atkinson14518[[#This Row],[Machine ]], PriceTable[Machine], PriceTable[$/Unit], "")</f>
        <v>0.1</v>
      </c>
      <c r="C33" s="25">
        <v>119</v>
      </c>
      <c r="D33" s="38">
        <f>IF(OR(Log_Atkinson14518[[#This Row],[Machine ]]="", Log_Atkinson14518[[#This Row],[Unit Amount]]=""), "", IFERROR(MAX(Log_Atkinson14518[[#This Row],[Unit Amount]] * Log_Atkinson14518[[#This Row],[$/Unit]], 3), ""))</f>
        <v>11.9</v>
      </c>
      <c r="E33" s="23" t="s">
        <v>59</v>
      </c>
      <c r="F33" s="24"/>
      <c r="G33" s="25" t="s">
        <v>60</v>
      </c>
      <c r="H33" s="26">
        <v>45953</v>
      </c>
      <c r="I33" s="24">
        <v>55</v>
      </c>
      <c r="J33" s="24" t="s">
        <v>19</v>
      </c>
      <c r="K33" s="24" t="s">
        <v>20</v>
      </c>
    </row>
    <row r="34" spans="1:11" ht="15.75">
      <c r="A34" s="36" t="s">
        <v>16</v>
      </c>
      <c r="B34" s="37">
        <f>_xlfn.XLOOKUP(Log_Atkinson14518[[#This Row],[Machine ]], PriceTable[Machine], PriceTable[$/Unit], "")</f>
        <v>0.1</v>
      </c>
      <c r="C34" s="29">
        <v>43</v>
      </c>
      <c r="D34" s="38">
        <f>IF(OR(Log_Atkinson14518[[#This Row],[Machine ]]="", Log_Atkinson14518[[#This Row],[Unit Amount]]=""), "", IFERROR(MAX(Log_Atkinson14518[[#This Row],[Unit Amount]] * Log_Atkinson14518[[#This Row],[$/Unit]], 3), ""))</f>
        <v>4.3</v>
      </c>
      <c r="E34" s="27" t="s">
        <v>43</v>
      </c>
      <c r="F34" s="28"/>
      <c r="G34" s="29" t="s">
        <v>44</v>
      </c>
      <c r="H34" s="30">
        <v>45953</v>
      </c>
      <c r="I34" s="28">
        <v>56</v>
      </c>
      <c r="J34" s="24" t="s">
        <v>27</v>
      </c>
      <c r="K34" s="28" t="s">
        <v>20</v>
      </c>
    </row>
    <row r="35" spans="1:11" ht="15.75">
      <c r="A35" s="36" t="s">
        <v>16</v>
      </c>
      <c r="B35" s="39">
        <f>_xlfn.XLOOKUP(Log_Atkinson14518[[#This Row],[Machine ]], PriceTable[Machine], PriceTable[$/Unit], "")</f>
        <v>0.1</v>
      </c>
      <c r="C35" s="25">
        <v>125</v>
      </c>
      <c r="D35" s="38">
        <f>IF(OR(Log_Atkinson14518[[#This Row],[Machine ]]="", Log_Atkinson14518[[#This Row],[Unit Amount]]=""), "", IFERROR(MAX(Log_Atkinson14518[[#This Row],[Unit Amount]] * Log_Atkinson14518[[#This Row],[$/Unit]], 3), ""))</f>
        <v>12.5</v>
      </c>
      <c r="E35" s="23" t="s">
        <v>69</v>
      </c>
      <c r="F35" s="24"/>
      <c r="G35" s="25" t="s">
        <v>60</v>
      </c>
      <c r="H35" s="26">
        <v>45953</v>
      </c>
      <c r="I35" s="24">
        <v>57</v>
      </c>
      <c r="J35" s="24" t="s">
        <v>19</v>
      </c>
      <c r="K35" s="24" t="s">
        <v>20</v>
      </c>
    </row>
    <row r="36" spans="1:11" ht="15.75">
      <c r="A36" s="36" t="s">
        <v>21</v>
      </c>
      <c r="B36" s="37" t="str">
        <f>_xlfn.XLOOKUP(Log_Atkinson14518[[#This Row],[Machine ]], PriceTable[Machine], PriceTable[$/Unit], "")</f>
        <v/>
      </c>
      <c r="C36" s="29">
        <v>11</v>
      </c>
      <c r="D36" s="38" t="str">
        <f>IF(OR(Log_Atkinson14518[[#This Row],[Machine ]]="", Log_Atkinson14518[[#This Row],[Unit Amount]]=""), "", IFERROR(MAX(Log_Atkinson14518[[#This Row],[Unit Amount]] * Log_Atkinson14518[[#This Row],[$/Unit]], 3), ""))</f>
        <v/>
      </c>
      <c r="E36" s="27" t="s">
        <v>17</v>
      </c>
      <c r="F36" s="28"/>
      <c r="G36" s="29" t="s">
        <v>54</v>
      </c>
      <c r="H36" s="30">
        <v>45953</v>
      </c>
      <c r="I36" s="28">
        <v>58</v>
      </c>
      <c r="J36" s="24" t="s">
        <v>19</v>
      </c>
      <c r="K36" s="28" t="s">
        <v>20</v>
      </c>
    </row>
    <row r="37" spans="1:11" ht="15.75">
      <c r="A37" s="36" t="s">
        <v>16</v>
      </c>
      <c r="B37" s="39">
        <f>_xlfn.XLOOKUP(Log_Atkinson14518[[#This Row],[Machine ]], PriceTable[Machine], PriceTable[$/Unit], "")</f>
        <v>0.1</v>
      </c>
      <c r="C37" s="25">
        <v>63</v>
      </c>
      <c r="D37" s="38">
        <f>IF(OR(Log_Atkinson14518[[#This Row],[Machine ]]="", Log_Atkinson14518[[#This Row],[Unit Amount]]=""), "", IFERROR(MAX(Log_Atkinson14518[[#This Row],[Unit Amount]] * Log_Atkinson14518[[#This Row],[$/Unit]], 3), ""))</f>
        <v>6.3000000000000007</v>
      </c>
      <c r="E37" s="23" t="s">
        <v>70</v>
      </c>
      <c r="F37" s="24"/>
      <c r="G37" s="25" t="s">
        <v>60</v>
      </c>
      <c r="H37" s="26">
        <v>45954</v>
      </c>
      <c r="I37" s="24">
        <v>59</v>
      </c>
      <c r="J37" s="24" t="s">
        <v>19</v>
      </c>
      <c r="K37" s="24" t="s">
        <v>20</v>
      </c>
    </row>
    <row r="38" spans="1:11" ht="15.75">
      <c r="A38" s="36" t="s">
        <v>16</v>
      </c>
      <c r="B38" s="37">
        <f>_xlfn.XLOOKUP(Log_Atkinson14518[[#This Row],[Machine ]], PriceTable[Machine], PriceTable[$/Unit], "")</f>
        <v>0.1</v>
      </c>
      <c r="C38" s="29">
        <v>146</v>
      </c>
      <c r="D38" s="38">
        <f>IF(OR(Log_Atkinson14518[[#This Row],[Machine ]]="", Log_Atkinson14518[[#This Row],[Unit Amount]]=""), "", IFERROR(MAX(Log_Atkinson14518[[#This Row],[Unit Amount]] * Log_Atkinson14518[[#This Row],[$/Unit]], 3), ""))</f>
        <v>14.600000000000001</v>
      </c>
      <c r="E38" s="27" t="s">
        <v>71</v>
      </c>
      <c r="F38" s="28"/>
      <c r="G38" s="29" t="s">
        <v>60</v>
      </c>
      <c r="H38" s="30">
        <v>45954</v>
      </c>
      <c r="I38" s="28">
        <v>60</v>
      </c>
      <c r="J38" s="24" t="s">
        <v>19</v>
      </c>
      <c r="K38" s="28" t="s">
        <v>20</v>
      </c>
    </row>
    <row r="39" spans="1:11" ht="15.75">
      <c r="A39" s="36" t="s">
        <v>16</v>
      </c>
      <c r="B39" s="39">
        <f>_xlfn.XLOOKUP(Log_Atkinson14518[[#This Row],[Machine ]], PriceTable[Machine], PriceTable[$/Unit], "")</f>
        <v>0.1</v>
      </c>
      <c r="C39" s="25">
        <v>49</v>
      </c>
      <c r="D39" s="38">
        <f>IF(OR(Log_Atkinson14518[[#This Row],[Machine ]]="", Log_Atkinson14518[[#This Row],[Unit Amount]]=""), "", IFERROR(MAX(Log_Atkinson14518[[#This Row],[Unit Amount]] * Log_Atkinson14518[[#This Row],[$/Unit]], 3), ""))</f>
        <v>4.9000000000000004</v>
      </c>
      <c r="E39" s="23" t="s">
        <v>72</v>
      </c>
      <c r="F39" s="24"/>
      <c r="G39" s="25" t="s">
        <v>73</v>
      </c>
      <c r="H39" s="26">
        <v>45957</v>
      </c>
      <c r="I39" s="24">
        <v>61</v>
      </c>
      <c r="J39" s="24" t="s">
        <v>30</v>
      </c>
      <c r="K39" s="24" t="s">
        <v>20</v>
      </c>
    </row>
    <row r="40" spans="1:11" ht="15.75">
      <c r="A40" s="36" t="s">
        <v>16</v>
      </c>
      <c r="B40" s="37">
        <f>_xlfn.XLOOKUP(Log_Atkinson14518[[#This Row],[Machine ]], PriceTable[Machine], PriceTable[$/Unit], "")</f>
        <v>0.1</v>
      </c>
      <c r="C40" s="29">
        <v>48.7</v>
      </c>
      <c r="D40" s="38">
        <v>4.87</v>
      </c>
      <c r="E40" s="27" t="s">
        <v>74</v>
      </c>
      <c r="F40" s="28"/>
      <c r="G40" s="29" t="s">
        <v>60</v>
      </c>
      <c r="H40" s="30">
        <v>45957</v>
      </c>
      <c r="I40" s="28">
        <v>62</v>
      </c>
      <c r="J40" s="24" t="s">
        <v>75</v>
      </c>
      <c r="K40" s="28" t="s">
        <v>20</v>
      </c>
    </row>
    <row r="41" spans="1:11" ht="15.75">
      <c r="A41" s="36" t="s">
        <v>16</v>
      </c>
      <c r="B41" s="39">
        <f>_xlfn.XLOOKUP(Log_Atkinson14518[[#This Row],[Machine ]], PriceTable[Machine], PriceTable[$/Unit], "")</f>
        <v>0.1</v>
      </c>
      <c r="C41" s="25">
        <v>462</v>
      </c>
      <c r="D41" s="38">
        <f>IF(OR(Log_Atkinson14518[[#This Row],[Machine ]]="", Log_Atkinson14518[[#This Row],[Unit Amount]]=""), "", IFERROR(MAX(Log_Atkinson14518[[#This Row],[Unit Amount]] * Log_Atkinson14518[[#This Row],[$/Unit]], 3), ""))</f>
        <v>46.2</v>
      </c>
      <c r="E41" s="23" t="s">
        <v>76</v>
      </c>
      <c r="F41" s="24"/>
      <c r="G41" s="25" t="s">
        <v>77</v>
      </c>
      <c r="H41" s="26">
        <v>45957</v>
      </c>
      <c r="I41" s="24">
        <v>63</v>
      </c>
      <c r="J41" s="24" t="s">
        <v>35</v>
      </c>
      <c r="K41" s="24" t="s">
        <v>20</v>
      </c>
    </row>
    <row r="42" spans="1:11" ht="15.75">
      <c r="A42" s="36" t="s">
        <v>21</v>
      </c>
      <c r="B42" s="37" t="str">
        <f>_xlfn.XLOOKUP(Log_Atkinson14518[[#This Row],[Machine ]], PriceTable[Machine], PriceTable[$/Unit], "")</f>
        <v/>
      </c>
      <c r="C42" s="29">
        <v>65</v>
      </c>
      <c r="D42" s="38" t="str">
        <f>IF(OR(Log_Atkinson14518[[#This Row],[Machine ]]="", Log_Atkinson14518[[#This Row],[Unit Amount]]=""), "", IFERROR(MAX(Log_Atkinson14518[[#This Row],[Unit Amount]] * Log_Atkinson14518[[#This Row],[$/Unit]], 3), ""))</f>
        <v/>
      </c>
      <c r="E42" s="27" t="s">
        <v>22</v>
      </c>
      <c r="F42" s="28"/>
      <c r="G42" s="29" t="s">
        <v>54</v>
      </c>
      <c r="H42" s="30">
        <v>45958</v>
      </c>
      <c r="I42" s="28">
        <v>64</v>
      </c>
      <c r="J42" s="24" t="s">
        <v>49</v>
      </c>
      <c r="K42" s="28" t="s">
        <v>20</v>
      </c>
    </row>
    <row r="43" spans="1:11" ht="15.75">
      <c r="A43" s="36" t="s">
        <v>16</v>
      </c>
      <c r="B43" s="39">
        <f>_xlfn.XLOOKUP(Log_Atkinson14518[[#This Row],[Machine ]], PriceTable[Machine], PriceTable[$/Unit], "")</f>
        <v>0.1</v>
      </c>
      <c r="C43" s="25">
        <v>316</v>
      </c>
      <c r="D43" s="38">
        <f>IF(OR(Log_Atkinson14518[[#This Row],[Machine ]]="", Log_Atkinson14518[[#This Row],[Unit Amount]]=""), "", IFERROR(MAX(Log_Atkinson14518[[#This Row],[Unit Amount]] * Log_Atkinson14518[[#This Row],[$/Unit]], 3), ""))</f>
        <v>31.6</v>
      </c>
      <c r="E43" s="23" t="s">
        <v>78</v>
      </c>
      <c r="F43" s="24"/>
      <c r="G43" s="25" t="s">
        <v>77</v>
      </c>
      <c r="H43" s="26">
        <v>45958</v>
      </c>
      <c r="I43" s="24">
        <v>65</v>
      </c>
      <c r="J43" s="24" t="s">
        <v>32</v>
      </c>
      <c r="K43" s="24" t="s">
        <v>20</v>
      </c>
    </row>
    <row r="44" spans="1:11" ht="15.75">
      <c r="A44" s="36" t="s">
        <v>16</v>
      </c>
      <c r="B44" s="37">
        <f>_xlfn.XLOOKUP(Log_Atkinson14518[[#This Row],[Machine ]], PriceTable[Machine], PriceTable[$/Unit], "")</f>
        <v>0.1</v>
      </c>
      <c r="C44" s="29">
        <v>15</v>
      </c>
      <c r="D44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44" s="27" t="s">
        <v>79</v>
      </c>
      <c r="F44" s="28"/>
      <c r="G44" s="29" t="s">
        <v>62</v>
      </c>
      <c r="H44" s="30">
        <v>45959</v>
      </c>
      <c r="I44" s="28">
        <v>66</v>
      </c>
      <c r="J44" s="24" t="s">
        <v>23</v>
      </c>
      <c r="K44" s="28" t="s">
        <v>20</v>
      </c>
    </row>
    <row r="45" spans="1:11" ht="15.75">
      <c r="A45" s="36" t="s">
        <v>16</v>
      </c>
      <c r="B45" s="39">
        <f>_xlfn.XLOOKUP(Log_Atkinson14518[[#This Row],[Machine ]], PriceTable[Machine], PriceTable[$/Unit], "")</f>
        <v>0.1</v>
      </c>
      <c r="C45" s="25">
        <v>35</v>
      </c>
      <c r="D45" s="38">
        <f>IF(OR(Log_Atkinson14518[[#This Row],[Machine ]]="", Log_Atkinson14518[[#This Row],[Unit Amount]]=""), "", IFERROR(MAX(Log_Atkinson14518[[#This Row],[Unit Amount]] * Log_Atkinson14518[[#This Row],[$/Unit]], 3), ""))</f>
        <v>3.5</v>
      </c>
      <c r="E45" s="23" t="s">
        <v>79</v>
      </c>
      <c r="F45" s="24"/>
      <c r="G45" s="25" t="s">
        <v>62</v>
      </c>
      <c r="H45" s="26">
        <v>45959</v>
      </c>
      <c r="I45" s="24">
        <v>67</v>
      </c>
      <c r="J45" s="24" t="s">
        <v>80</v>
      </c>
      <c r="K45" s="24" t="s">
        <v>20</v>
      </c>
    </row>
    <row r="46" spans="1:11" ht="15.75">
      <c r="A46" s="36" t="s">
        <v>16</v>
      </c>
      <c r="B46" s="37">
        <f>_xlfn.XLOOKUP(Log_Atkinson14518[[#This Row],[Machine ]], PriceTable[Machine], PriceTable[$/Unit], "")</f>
        <v>0.1</v>
      </c>
      <c r="C46" s="29">
        <v>99</v>
      </c>
      <c r="D46" s="38">
        <f>IF(OR(Log_Atkinson14518[[#This Row],[Machine ]]="", Log_Atkinson14518[[#This Row],[Unit Amount]]=""), "", IFERROR(MAX(Log_Atkinson14518[[#This Row],[Unit Amount]] * Log_Atkinson14518[[#This Row],[$/Unit]], 3), ""))</f>
        <v>9.9</v>
      </c>
      <c r="E46" s="27" t="s">
        <v>57</v>
      </c>
      <c r="F46" s="28"/>
      <c r="G46" s="29" t="s">
        <v>58</v>
      </c>
      <c r="H46" s="30">
        <v>45960</v>
      </c>
      <c r="I46" s="28">
        <v>68</v>
      </c>
      <c r="J46" s="24" t="s">
        <v>49</v>
      </c>
      <c r="K46" s="28" t="s">
        <v>20</v>
      </c>
    </row>
    <row r="47" spans="1:11" ht="15.75">
      <c r="A47" s="36" t="s">
        <v>16</v>
      </c>
      <c r="B47" s="39">
        <f>_xlfn.XLOOKUP(Log_Atkinson14518[[#This Row],[Machine ]], PriceTable[Machine], PriceTable[$/Unit], "")</f>
        <v>0.1</v>
      </c>
      <c r="C47" s="25">
        <v>53</v>
      </c>
      <c r="D47" s="38">
        <f>IF(OR(Log_Atkinson14518[[#This Row],[Machine ]]="", Log_Atkinson14518[[#This Row],[Unit Amount]]=""), "", IFERROR(MAX(Log_Atkinson14518[[#This Row],[Unit Amount]] * Log_Atkinson14518[[#This Row],[$/Unit]], 3), ""))</f>
        <v>5.3000000000000007</v>
      </c>
      <c r="E47" s="23" t="s">
        <v>81</v>
      </c>
      <c r="F47" s="24"/>
      <c r="G47" s="25" t="s">
        <v>62</v>
      </c>
      <c r="H47" s="26">
        <v>45960</v>
      </c>
      <c r="I47" s="24">
        <v>69</v>
      </c>
      <c r="J47" s="24" t="s">
        <v>19</v>
      </c>
      <c r="K47" s="24" t="s">
        <v>20</v>
      </c>
    </row>
    <row r="48" spans="1:11" ht="15.75">
      <c r="A48" s="36" t="s">
        <v>16</v>
      </c>
      <c r="B48" s="37">
        <f>_xlfn.XLOOKUP(Log_Atkinson14518[[#This Row],[Machine ]], PriceTable[Machine], PriceTable[$/Unit], "")</f>
        <v>0.1</v>
      </c>
      <c r="C48" s="29">
        <v>181</v>
      </c>
      <c r="D48" s="38">
        <f>IF(OR(Log_Atkinson14518[[#This Row],[Machine ]]="", Log_Atkinson14518[[#This Row],[Unit Amount]]=""), "", IFERROR(MAX(Log_Atkinson14518[[#This Row],[Unit Amount]] * Log_Atkinson14518[[#This Row],[$/Unit]], 3), ""))</f>
        <v>18.100000000000001</v>
      </c>
      <c r="E48" s="27" t="s">
        <v>82</v>
      </c>
      <c r="F48" s="28"/>
      <c r="G48" s="29" t="s">
        <v>25</v>
      </c>
      <c r="H48" s="30">
        <v>45961</v>
      </c>
      <c r="I48" s="28">
        <v>70</v>
      </c>
      <c r="J48" s="24" t="s">
        <v>23</v>
      </c>
      <c r="K48" s="28" t="s">
        <v>20</v>
      </c>
    </row>
    <row r="49" spans="1:11" ht="15.75">
      <c r="A49" s="36" t="s">
        <v>16</v>
      </c>
      <c r="B49" s="39">
        <f>_xlfn.XLOOKUP(Log_Atkinson14518[[#This Row],[Machine ]], PriceTable[Machine], PriceTable[$/Unit], "")</f>
        <v>0.1</v>
      </c>
      <c r="C49" s="25">
        <v>95</v>
      </c>
      <c r="D49" s="38">
        <f>IF(OR(Log_Atkinson14518[[#This Row],[Machine ]]="", Log_Atkinson14518[[#This Row],[Unit Amount]]=""), "", IFERROR(MAX(Log_Atkinson14518[[#This Row],[Unit Amount]] * Log_Atkinson14518[[#This Row],[$/Unit]], 3), ""))</f>
        <v>9.5</v>
      </c>
      <c r="E49" s="23" t="s">
        <v>83</v>
      </c>
      <c r="F49" s="24"/>
      <c r="G49" s="25" t="s">
        <v>62</v>
      </c>
      <c r="H49" s="26">
        <v>45961</v>
      </c>
      <c r="I49" s="24">
        <v>71</v>
      </c>
      <c r="J49" s="24" t="s">
        <v>30</v>
      </c>
      <c r="K49" s="24" t="s">
        <v>20</v>
      </c>
    </row>
    <row r="50" spans="1:11" ht="15.75">
      <c r="A50" s="36" t="s">
        <v>16</v>
      </c>
      <c r="B50" s="39">
        <f>_xlfn.XLOOKUP(Log_Atkinson14518[[#This Row],[Machine ]], PriceTable[Machine], PriceTable[$/Unit], "")</f>
        <v>0.1</v>
      </c>
      <c r="C50" s="25">
        <v>20.39</v>
      </c>
      <c r="D50" s="38">
        <v>0</v>
      </c>
      <c r="E50" s="23" t="s">
        <v>84</v>
      </c>
      <c r="F50" s="24"/>
      <c r="G50" s="25" t="s">
        <v>85</v>
      </c>
      <c r="H50" s="26">
        <v>45961</v>
      </c>
      <c r="I50" s="24">
        <v>72</v>
      </c>
      <c r="J50" s="24" t="s">
        <v>49</v>
      </c>
      <c r="K50" s="24" t="s">
        <v>20</v>
      </c>
    </row>
    <row r="51" spans="1:11" ht="15.75">
      <c r="A51" s="36" t="s">
        <v>16</v>
      </c>
      <c r="B51" s="40">
        <f>_xlfn.XLOOKUP(Log_Atkinson14518[[#This Row],[Machine ]], PriceTable[Machine], PriceTable[$/Unit], "")</f>
        <v>0.1</v>
      </c>
      <c r="C51" s="25">
        <f>6.35+9.17+5.26+7.69</f>
        <v>28.470000000000002</v>
      </c>
      <c r="D51" s="38">
        <f>IF(OR(Log_Atkinson14518[[#This Row],[Machine ]]="", Log_Atkinson14518[[#This Row],[Unit Amount]]=""), "", IFERROR(MAX(Log_Atkinson14518[[#This Row],[Unit Amount]] * Log_Atkinson14518[[#This Row],[$/Unit]], 3), ""))</f>
        <v>3</v>
      </c>
      <c r="E51" s="23" t="s">
        <v>86</v>
      </c>
      <c r="F51" s="24"/>
      <c r="G51" s="25" t="s">
        <v>36</v>
      </c>
      <c r="H51" s="26">
        <v>45961</v>
      </c>
      <c r="I51" s="24">
        <f>ROW() - ROW(Log_Atkinson14518[[#Headers],[Transaction Number]]) + 24</f>
        <v>73</v>
      </c>
      <c r="J51" s="24" t="s">
        <v>49</v>
      </c>
      <c r="K51" s="24" t="s">
        <v>20</v>
      </c>
    </row>
    <row r="52" spans="1:11" ht="15.75" customHeight="1">
      <c r="A52" s="36" t="s">
        <v>13</v>
      </c>
      <c r="B52" s="40"/>
      <c r="C52" s="25"/>
      <c r="D52" s="41"/>
      <c r="E52" s="23"/>
      <c r="F52" s="24"/>
      <c r="G52" s="25"/>
      <c r="H52" s="25"/>
      <c r="I52" s="24"/>
      <c r="J52" s="24"/>
      <c r="K52" s="56">
        <f>SUBTOTAL(109,Log_Atkinson14518[Cost])</f>
        <v>716.03999999999985</v>
      </c>
    </row>
    <row r="53" spans="1:11" ht="15.75">
      <c r="A53" s="42"/>
      <c r="B53" s="43"/>
      <c r="C53" s="44"/>
      <c r="D53" s="45"/>
      <c r="E53" s="46"/>
      <c r="F53" s="47"/>
      <c r="G53" s="44"/>
      <c r="H53" s="44"/>
      <c r="I53" s="47"/>
      <c r="J53" s="47"/>
      <c r="K53" s="47"/>
    </row>
    <row r="54" spans="1:11" ht="15.75">
      <c r="C54" s="48"/>
      <c r="E54" s="49"/>
      <c r="G54" s="49"/>
      <c r="H54" s="50"/>
    </row>
    <row r="55" spans="1:11" ht="15.75">
      <c r="C55" s="51"/>
    </row>
    <row r="56" spans="1:11" ht="15.75" customHeight="1"/>
    <row r="57" spans="1:11" ht="15.75"/>
    <row r="58" spans="1:11" ht="11.25" customHeight="1"/>
    <row r="59" spans="1:11" ht="24">
      <c r="A59" s="64" t="s">
        <v>14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.75">
      <c r="A60" s="52" t="s">
        <v>1</v>
      </c>
      <c r="B60" s="53" t="s">
        <v>2</v>
      </c>
      <c r="C60" s="53" t="s">
        <v>3</v>
      </c>
      <c r="D60" s="54" t="s">
        <v>4</v>
      </c>
      <c r="E60" s="55" t="s">
        <v>5</v>
      </c>
      <c r="F60" s="52" t="s">
        <v>6</v>
      </c>
      <c r="G60" s="55" t="s">
        <v>7</v>
      </c>
      <c r="H60" s="52" t="s">
        <v>15</v>
      </c>
      <c r="I60" s="52" t="s">
        <v>9</v>
      </c>
      <c r="J60" s="52" t="s">
        <v>10</v>
      </c>
      <c r="K60" s="52" t="s">
        <v>11</v>
      </c>
    </row>
    <row r="61" spans="1:11" ht="15.75">
      <c r="A61" s="36" t="s">
        <v>87</v>
      </c>
      <c r="B61" s="39">
        <f>_xlfn.XLOOKUP(Log_Art12319[[#This Row],[Machine ]], PriceTable[Machine], PriceTable[$/Unit], "")</f>
        <v>20</v>
      </c>
      <c r="C61" s="25">
        <v>5</v>
      </c>
      <c r="D61" s="38">
        <f>IF(OR(Log_Art12319[[#This Row],[Machine ]]="", Log_Art12319[[#This Row],[Unit Amount]]=""), "", IFERROR(MAX(Log_Art12319[[#This Row],[Unit Amount]] * Log_Art12319[[#This Row],[$/Unit]], 3), ""))</f>
        <v>100</v>
      </c>
      <c r="E61" s="23" t="s">
        <v>52</v>
      </c>
      <c r="F61" s="24"/>
      <c r="G61" s="25" t="s">
        <v>88</v>
      </c>
      <c r="H61" s="26">
        <v>45943</v>
      </c>
      <c r="I61" s="24">
        <v>13</v>
      </c>
      <c r="J61" s="24" t="s">
        <v>35</v>
      </c>
      <c r="K61" s="24" t="s">
        <v>20</v>
      </c>
    </row>
    <row r="62" spans="1:11" ht="15.75">
      <c r="A62" s="36" t="s">
        <v>87</v>
      </c>
      <c r="B62" s="39">
        <f>_xlfn.XLOOKUP(Log_Art12319[[#This Row],[Machine ]], PriceTable[Machine], PriceTable[$/Unit], "")</f>
        <v>20</v>
      </c>
      <c r="C62" s="29">
        <v>1.5</v>
      </c>
      <c r="D62" s="38">
        <f>IF(OR(Log_Art12319[[#This Row],[Machine ]]="", Log_Art12319[[#This Row],[Unit Amount]]=""), "", IFERROR(MAX(Log_Art12319[[#This Row],[Unit Amount]] * Log_Art12319[[#This Row],[$/Unit]], 3), ""))</f>
        <v>30</v>
      </c>
      <c r="E62" s="27" t="s">
        <v>24</v>
      </c>
      <c r="F62" s="28"/>
      <c r="G62" s="29" t="s">
        <v>89</v>
      </c>
      <c r="H62" s="30">
        <v>45945</v>
      </c>
      <c r="I62" s="28">
        <v>14</v>
      </c>
      <c r="J62" s="24" t="s">
        <v>35</v>
      </c>
      <c r="K62" s="28" t="s">
        <v>20</v>
      </c>
    </row>
    <row r="63" spans="1:11" ht="15.75">
      <c r="A63" s="36" t="s">
        <v>87</v>
      </c>
      <c r="B63" s="39">
        <f>_xlfn.XLOOKUP(Log_Art12319[[#This Row],[Machine ]], PriceTable[Machine], PriceTable[$/Unit], "")</f>
        <v>20</v>
      </c>
      <c r="C63" s="25">
        <v>4</v>
      </c>
      <c r="D63" s="38">
        <f>IF(OR(Log_Art12319[[#This Row],[Machine ]]="", Log_Art12319[[#This Row],[Unit Amount]]=""), "", IFERROR(MAX(Log_Art12319[[#This Row],[Unit Amount]] * Log_Art12319[[#This Row],[$/Unit]], 3), ""))</f>
        <v>80</v>
      </c>
      <c r="E63" s="23" t="s">
        <v>71</v>
      </c>
      <c r="F63" s="24"/>
      <c r="G63" s="25" t="s">
        <v>73</v>
      </c>
      <c r="H63" s="26">
        <v>45957</v>
      </c>
      <c r="I63" s="24">
        <v>15</v>
      </c>
      <c r="J63" s="24" t="s">
        <v>35</v>
      </c>
      <c r="K63" s="28" t="s">
        <v>20</v>
      </c>
    </row>
    <row r="64" spans="1:11" ht="15.75">
      <c r="A64" s="36" t="s">
        <v>87</v>
      </c>
      <c r="B64" s="39">
        <f>_xlfn.XLOOKUP(Log_Art12319[[#This Row],[Machine ]], PriceTable[Machine], PriceTable[$/Unit], "")</f>
        <v>20</v>
      </c>
      <c r="C64" s="29">
        <v>1</v>
      </c>
      <c r="D64" s="38">
        <f>IF(OR(Log_Art12319[[#This Row],[Machine ]]="", Log_Art12319[[#This Row],[Unit Amount]]=""), "", IFERROR(MAX(Log_Art12319[[#This Row],[Unit Amount]] * Log_Art12319[[#This Row],[$/Unit]], 3), ""))</f>
        <v>20</v>
      </c>
      <c r="E64" s="27" t="s">
        <v>86</v>
      </c>
      <c r="F64" s="28"/>
      <c r="G64" s="29" t="s">
        <v>36</v>
      </c>
      <c r="H64" s="30">
        <v>45957</v>
      </c>
      <c r="I64" s="28">
        <v>16</v>
      </c>
      <c r="J64" s="24" t="s">
        <v>35</v>
      </c>
      <c r="K64" s="28" t="s">
        <v>20</v>
      </c>
    </row>
    <row r="65" spans="1:11" ht="15.75">
      <c r="A65" s="36" t="s">
        <v>12</v>
      </c>
      <c r="B65" s="39">
        <f>_xlfn.XLOOKUP(Log_Art12319[[#This Row],[Machine ]], PriceTable[Machine], PriceTable[$/Unit], "")</f>
        <v>0</v>
      </c>
      <c r="C65" s="25"/>
      <c r="D65" s="38" t="str">
        <f>IF(OR(Log_Art12319[[#This Row],[Machine ]]="", Log_Art12319[[#This Row],[Unit Amount]]=""), "", IFERROR(MAX(Log_Art12319[[#This Row],[Unit Amount]] * Log_Art12319[[#This Row],[$/Unit]], 3), ""))</f>
        <v/>
      </c>
      <c r="E65" s="23"/>
      <c r="F65" s="24"/>
      <c r="G65" s="25"/>
      <c r="H65" s="26"/>
      <c r="I65" s="24"/>
      <c r="J65" s="24"/>
      <c r="K65" s="28"/>
    </row>
    <row r="66" spans="1:11" ht="15.75">
      <c r="A66" s="36" t="s">
        <v>12</v>
      </c>
      <c r="B66" s="39">
        <f>_xlfn.XLOOKUP(Log_Art12319[[#This Row],[Machine ]], PriceTable[Machine], PriceTable[$/Unit], "")</f>
        <v>0</v>
      </c>
      <c r="C66" s="29"/>
      <c r="D66" s="38" t="str">
        <f>IF(OR(Log_Art12319[[#This Row],[Machine ]]="", Log_Art12319[[#This Row],[Unit Amount]]=""), "", IFERROR(MAX(Log_Art12319[[#This Row],[Unit Amount]] * Log_Art12319[[#This Row],[$/Unit]], 3), ""))</f>
        <v/>
      </c>
      <c r="E66" s="27"/>
      <c r="F66" s="28"/>
      <c r="G66" s="29"/>
      <c r="H66" s="30"/>
      <c r="I66" s="28"/>
      <c r="J66" s="24"/>
      <c r="K66" s="28"/>
    </row>
    <row r="67" spans="1:11" ht="15.75">
      <c r="A67" s="36" t="s">
        <v>12</v>
      </c>
      <c r="B67" s="39">
        <f>_xlfn.XLOOKUP(Log_Art12319[[#This Row],[Machine ]], PriceTable[Machine], PriceTable[$/Unit], "")</f>
        <v>0</v>
      </c>
      <c r="C67" s="25"/>
      <c r="D67" s="38" t="str">
        <f>IF(OR(Log_Art12319[[#This Row],[Machine ]]="", Log_Art12319[[#This Row],[Unit Amount]]=""), "", IFERROR(MAX(Log_Art12319[[#This Row],[Unit Amount]] * Log_Art12319[[#This Row],[$/Unit]], 3), ""))</f>
        <v/>
      </c>
      <c r="E67" s="23"/>
      <c r="F67" s="24"/>
      <c r="G67" s="25"/>
      <c r="H67" s="26"/>
      <c r="I67" s="24"/>
      <c r="J67" s="24"/>
      <c r="K67" s="24"/>
    </row>
    <row r="68" spans="1:11" ht="15.75">
      <c r="A68" s="36" t="s">
        <v>12</v>
      </c>
      <c r="B68" s="39">
        <f>_xlfn.XLOOKUP(Log_Art12319[[#This Row],[Machine ]], PriceTable[Machine], PriceTable[$/Unit], "")</f>
        <v>0</v>
      </c>
      <c r="C68" s="29"/>
      <c r="D68" s="38" t="str">
        <f>IF(OR(Log_Art12319[[#This Row],[Machine ]]="", Log_Art12319[[#This Row],[Unit Amount]]=""), "", IFERROR(MAX(Log_Art12319[[#This Row],[Unit Amount]] * Log_Art12319[[#This Row],[$/Unit]], 3), ""))</f>
        <v/>
      </c>
      <c r="E68" s="27"/>
      <c r="F68" s="28"/>
      <c r="G68" s="29"/>
      <c r="H68" s="30"/>
      <c r="I68" s="28"/>
      <c r="J68" s="24"/>
      <c r="K68" s="28"/>
    </row>
    <row r="69" spans="1:11" ht="15.75">
      <c r="A69" s="36" t="s">
        <v>12</v>
      </c>
      <c r="B69" s="39">
        <f>_xlfn.XLOOKUP(Log_Art12319[[#This Row],[Machine ]], PriceTable[Machine], PriceTable[$/Unit], "")</f>
        <v>0</v>
      </c>
      <c r="C69" s="25"/>
      <c r="D69" s="38" t="str">
        <f>IF(OR(Log_Art12319[[#This Row],[Machine ]]="", Log_Art12319[[#This Row],[Unit Amount]]=""), "", IFERROR(MAX(Log_Art12319[[#This Row],[Unit Amount]] * Log_Art12319[[#This Row],[$/Unit]], 3), ""))</f>
        <v/>
      </c>
      <c r="E69" s="23"/>
      <c r="F69" s="24"/>
      <c r="G69" s="25"/>
      <c r="H69" s="26"/>
      <c r="I69" s="24"/>
      <c r="J69" s="24"/>
      <c r="K69" s="24"/>
    </row>
    <row r="70" spans="1:11" ht="15.75">
      <c r="A70" s="36" t="s">
        <v>12</v>
      </c>
      <c r="B70" s="39">
        <f>_xlfn.XLOOKUP(Log_Art12319[[#This Row],[Machine ]], PriceTable[Machine], PriceTable[$/Unit], "")</f>
        <v>0</v>
      </c>
      <c r="C70" s="29"/>
      <c r="D70" s="38" t="str">
        <f>IF(OR(Log_Art12319[[#This Row],[Machine ]]="", Log_Art12319[[#This Row],[Unit Amount]]=""), "", IFERROR(MAX(Log_Art12319[[#This Row],[Unit Amount]] * Log_Art12319[[#This Row],[$/Unit]], 3), ""))</f>
        <v/>
      </c>
      <c r="E70" s="27"/>
      <c r="F70" s="28"/>
      <c r="G70" s="29"/>
      <c r="H70" s="30"/>
      <c r="I70" s="28"/>
      <c r="J70" s="24"/>
      <c r="K70" s="28"/>
    </row>
    <row r="71" spans="1:11" ht="15.75">
      <c r="A71" s="36" t="s">
        <v>12</v>
      </c>
      <c r="B71" s="39">
        <f>_xlfn.XLOOKUP(Log_Art12319[[#This Row],[Machine ]], PriceTable[Machine], PriceTable[$/Unit], "")</f>
        <v>0</v>
      </c>
      <c r="C71" s="25"/>
      <c r="D71" s="38" t="str">
        <f>IF(OR(Log_Art12319[[#This Row],[Machine ]]="", Log_Art12319[[#This Row],[Unit Amount]]=""), "", IFERROR(MAX(Log_Art12319[[#This Row],[Unit Amount]] * Log_Art12319[[#This Row],[$/Unit]], 3), ""))</f>
        <v/>
      </c>
      <c r="E71" s="23"/>
      <c r="F71" s="24"/>
      <c r="G71" s="25"/>
      <c r="H71" s="26"/>
      <c r="I71" s="24"/>
      <c r="J71" s="24"/>
      <c r="K71" s="24"/>
    </row>
    <row r="72" spans="1:11" ht="15.75">
      <c r="A72" s="36" t="s">
        <v>12</v>
      </c>
      <c r="B72" s="39">
        <f>_xlfn.XLOOKUP(Log_Art12319[[#This Row],[Machine ]], PriceTable[Machine], PriceTable[$/Unit], "")</f>
        <v>0</v>
      </c>
      <c r="C72" s="29"/>
      <c r="D72" s="38" t="str">
        <f>IF(OR(Log_Art12319[[#This Row],[Machine ]]="", Log_Art12319[[#This Row],[Unit Amount]]=""), "", IFERROR(MAX(Log_Art12319[[#This Row],[Unit Amount]] * Log_Art12319[[#This Row],[$/Unit]], 3), ""))</f>
        <v/>
      </c>
      <c r="E72" s="27"/>
      <c r="F72" s="28"/>
      <c r="G72" s="29"/>
      <c r="H72" s="30"/>
      <c r="I72" s="28"/>
      <c r="J72" s="24"/>
      <c r="K72" s="28"/>
    </row>
    <row r="73" spans="1:11" ht="15.75">
      <c r="A73" s="36" t="s">
        <v>12</v>
      </c>
      <c r="B73" s="39">
        <f>_xlfn.XLOOKUP(Log_Art12319[[#This Row],[Machine ]], PriceTable[Machine], PriceTable[$/Unit], "")</f>
        <v>0</v>
      </c>
      <c r="C73" s="25"/>
      <c r="D73" s="38" t="str">
        <f>IF(OR(Log_Art12319[[#This Row],[Machine ]]="", Log_Art12319[[#This Row],[Unit Amount]]=""), "", IFERROR(MAX(Log_Art12319[[#This Row],[Unit Amount]] * Log_Art12319[[#This Row],[$/Unit]], 3), ""))</f>
        <v/>
      </c>
      <c r="E73" s="23"/>
      <c r="F73" s="24"/>
      <c r="G73" s="25"/>
      <c r="H73" s="26"/>
      <c r="I73" s="24"/>
      <c r="J73" s="24"/>
      <c r="K73" s="24"/>
    </row>
    <row r="74" spans="1:11" ht="15.75">
      <c r="A74" s="36" t="s">
        <v>12</v>
      </c>
      <c r="B74" s="39">
        <f>_xlfn.XLOOKUP(Log_Art12319[[#This Row],[Machine ]], PriceTable[Machine], PriceTable[$/Unit], "")</f>
        <v>0</v>
      </c>
      <c r="C74" s="29"/>
      <c r="D74" s="38" t="str">
        <f>IF(OR(Log_Art12319[[#This Row],[Machine ]]="", Log_Art12319[[#This Row],[Unit Amount]]=""), "", IFERROR(MAX(Log_Art12319[[#This Row],[Unit Amount]] * Log_Art12319[[#This Row],[$/Unit]], 3), ""))</f>
        <v/>
      </c>
      <c r="E74" s="27"/>
      <c r="F74" s="28"/>
      <c r="G74" s="29"/>
      <c r="H74" s="30"/>
      <c r="I74" s="28"/>
      <c r="J74" s="24"/>
      <c r="K74" s="28"/>
    </row>
    <row r="75" spans="1:11" ht="15.75">
      <c r="A75" s="36" t="s">
        <v>12</v>
      </c>
      <c r="B75" s="39">
        <f>_xlfn.XLOOKUP(Log_Art12319[[#This Row],[Machine ]], PriceTable[Machine], PriceTable[$/Unit], "")</f>
        <v>0</v>
      </c>
      <c r="C75" s="25"/>
      <c r="D75" s="38" t="str">
        <f>IF(OR(Log_Art12319[[#This Row],[Machine ]]="", Log_Art12319[[#This Row],[Unit Amount]]=""), "", IFERROR(MAX(Log_Art12319[[#This Row],[Unit Amount]] * Log_Art12319[[#This Row],[$/Unit]], 3), ""))</f>
        <v/>
      </c>
      <c r="E75" s="23"/>
      <c r="F75" s="24"/>
      <c r="G75" s="25"/>
      <c r="H75" s="26"/>
      <c r="I75" s="24"/>
      <c r="J75" s="24"/>
      <c r="K75" s="24"/>
    </row>
    <row r="76" spans="1:11" ht="15.75">
      <c r="A76" s="36" t="s">
        <v>12</v>
      </c>
      <c r="B76" s="39">
        <f>_xlfn.XLOOKUP(Log_Art12319[[#This Row],[Machine ]], PriceTable[Machine], PriceTable[$/Unit], "")</f>
        <v>0</v>
      </c>
      <c r="C76" s="29"/>
      <c r="D76" s="38" t="str">
        <f>IF(OR(Log_Art12319[[#This Row],[Machine ]]="", Log_Art12319[[#This Row],[Unit Amount]]=""), "", IFERROR(MAX(Log_Art12319[[#This Row],[Unit Amount]] * Log_Art12319[[#This Row],[$/Unit]], 3), ""))</f>
        <v/>
      </c>
      <c r="E76" s="27"/>
      <c r="F76" s="28"/>
      <c r="G76" s="29"/>
      <c r="H76" s="30"/>
      <c r="I76" s="28"/>
      <c r="J76" s="24"/>
      <c r="K76" s="28"/>
    </row>
    <row r="77" spans="1:11" ht="15.75">
      <c r="A77" s="36" t="s">
        <v>12</v>
      </c>
      <c r="B77" s="39">
        <f>_xlfn.XLOOKUP(Log_Art12319[[#This Row],[Machine ]], PriceTable[Machine], PriceTable[$/Unit], "")</f>
        <v>0</v>
      </c>
      <c r="C77" s="25"/>
      <c r="D77" s="38" t="str">
        <f>IF(OR(Log_Art12319[[#This Row],[Machine ]]="", Log_Art12319[[#This Row],[Unit Amount]]=""), "", IFERROR(MAX(Log_Art12319[[#This Row],[Unit Amount]] * Log_Art12319[[#This Row],[$/Unit]], 3), ""))</f>
        <v/>
      </c>
      <c r="E77" s="23"/>
      <c r="F77" s="24"/>
      <c r="G77" s="25"/>
      <c r="H77" s="26"/>
      <c r="I77" s="24"/>
      <c r="J77" s="24"/>
      <c r="K77" s="24"/>
    </row>
    <row r="78" spans="1:11" ht="15.75">
      <c r="A78" s="36" t="s">
        <v>12</v>
      </c>
      <c r="B78" s="39">
        <f>_xlfn.XLOOKUP(Log_Art12319[[#This Row],[Machine ]], PriceTable[Machine], PriceTable[$/Unit], "")</f>
        <v>0</v>
      </c>
      <c r="C78" s="29"/>
      <c r="D78" s="38" t="str">
        <f>IF(OR(Log_Art12319[[#This Row],[Machine ]]="", Log_Art12319[[#This Row],[Unit Amount]]=""), "", IFERROR(MAX(Log_Art12319[[#This Row],[Unit Amount]] * Log_Art12319[[#This Row],[$/Unit]], 3), ""))</f>
        <v/>
      </c>
      <c r="E78" s="27"/>
      <c r="F78" s="28"/>
      <c r="G78" s="29"/>
      <c r="H78" s="30"/>
      <c r="I78" s="28"/>
      <c r="J78" s="24"/>
      <c r="K78" s="28"/>
    </row>
    <row r="79" spans="1:11" ht="15.75">
      <c r="A79" s="36" t="s">
        <v>12</v>
      </c>
      <c r="B79" s="39">
        <f>_xlfn.XLOOKUP(Log_Art12319[[#This Row],[Machine ]], PriceTable[Machine], PriceTable[$/Unit], "")</f>
        <v>0</v>
      </c>
      <c r="C79" s="25"/>
      <c r="D79" s="38" t="str">
        <f>IF(OR(Log_Art12319[[#This Row],[Machine ]]="", Log_Art12319[[#This Row],[Unit Amount]]=""), "", IFERROR(MAX(Log_Art12319[[#This Row],[Unit Amount]] * Log_Art12319[[#This Row],[$/Unit]], 3), ""))</f>
        <v/>
      </c>
      <c r="E79" s="23"/>
      <c r="F79" s="24"/>
      <c r="G79" s="25"/>
      <c r="H79" s="26"/>
      <c r="I79" s="24"/>
      <c r="J79" s="24"/>
      <c r="K79" s="24"/>
    </row>
    <row r="80" spans="1:11" ht="15.75">
      <c r="A80" s="36" t="s">
        <v>12</v>
      </c>
      <c r="B80" s="39">
        <f>_xlfn.XLOOKUP(Log_Art12319[[#This Row],[Machine ]], PriceTable[Machine], PriceTable[$/Unit], "")</f>
        <v>0</v>
      </c>
      <c r="C80" s="29"/>
      <c r="D80" s="38" t="str">
        <f>IF(OR(Log_Art12319[[#This Row],[Machine ]]="", Log_Art12319[[#This Row],[Unit Amount]]=""), "", IFERROR(MAX(Log_Art12319[[#This Row],[Unit Amount]] * Log_Art12319[[#This Row],[$/Unit]], 3), ""))</f>
        <v/>
      </c>
      <c r="E80" s="27"/>
      <c r="F80" s="28"/>
      <c r="G80" s="29"/>
      <c r="H80" s="30"/>
      <c r="I80" s="28"/>
      <c r="J80" s="24"/>
      <c r="K80" s="28"/>
    </row>
    <row r="81" spans="1:11" ht="15.75">
      <c r="A81" s="36" t="s">
        <v>12</v>
      </c>
      <c r="B81" s="39">
        <f>_xlfn.XLOOKUP(Log_Art12319[[#This Row],[Machine ]], PriceTable[Machine], PriceTable[$/Unit], "")</f>
        <v>0</v>
      </c>
      <c r="C81" s="25"/>
      <c r="D81" s="38" t="str">
        <f>IF(OR(Log_Art12319[[#This Row],[Machine ]]="", Log_Art12319[[#This Row],[Unit Amount]]=""), "", IFERROR(MAX(Log_Art12319[[#This Row],[Unit Amount]] * Log_Art12319[[#This Row],[$/Unit]], 3), ""))</f>
        <v/>
      </c>
      <c r="E81" s="23"/>
      <c r="F81" s="24"/>
      <c r="G81" s="25"/>
      <c r="H81" s="26"/>
      <c r="I81" s="24"/>
      <c r="J81" s="24"/>
      <c r="K81" s="24"/>
    </row>
    <row r="82" spans="1:11" ht="15.75">
      <c r="A82" s="36" t="s">
        <v>12</v>
      </c>
      <c r="B82" s="39">
        <f>_xlfn.XLOOKUP(Log_Art12319[[#This Row],[Machine ]], PriceTable[Machine], PriceTable[$/Unit], "")</f>
        <v>0</v>
      </c>
      <c r="C82" s="29"/>
      <c r="D82" s="38" t="str">
        <f>IF(OR(Log_Art12319[[#This Row],[Machine ]]="", Log_Art12319[[#This Row],[Unit Amount]]=""), "", IFERROR(MAX(Log_Art12319[[#This Row],[Unit Amount]] * Log_Art12319[[#This Row],[$/Unit]], 3), ""))</f>
        <v/>
      </c>
      <c r="E82" s="27"/>
      <c r="F82" s="28"/>
      <c r="G82" s="29"/>
      <c r="H82" s="30"/>
      <c r="I82" s="28"/>
      <c r="J82" s="24"/>
      <c r="K82" s="28"/>
    </row>
    <row r="83" spans="1:11" ht="15.75">
      <c r="A83" s="36" t="s">
        <v>12</v>
      </c>
      <c r="B83" s="39">
        <f>_xlfn.XLOOKUP(Log_Art12319[[#This Row],[Machine ]], PriceTable[Machine], PriceTable[$/Unit], "")</f>
        <v>0</v>
      </c>
      <c r="C83" s="25"/>
      <c r="D83" s="38" t="str">
        <f>IF(OR(Log_Art12319[[#This Row],[Machine ]]="", Log_Art12319[[#This Row],[Unit Amount]]=""), "", IFERROR(MAX(Log_Art12319[[#This Row],[Unit Amount]] * Log_Art12319[[#This Row],[$/Unit]], 3), ""))</f>
        <v/>
      </c>
      <c r="E83" s="23"/>
      <c r="F83" s="24"/>
      <c r="G83" s="25"/>
      <c r="H83" s="26"/>
      <c r="I83" s="24"/>
      <c r="J83" s="24"/>
      <c r="K83" s="24"/>
    </row>
    <row r="84" spans="1:11" ht="15.75">
      <c r="A84" s="36" t="s">
        <v>13</v>
      </c>
      <c r="B84" s="40"/>
      <c r="C84" s="25"/>
      <c r="D84" s="41"/>
      <c r="E84" s="23"/>
      <c r="F84" s="24"/>
      <c r="G84" s="25"/>
      <c r="H84" s="25"/>
      <c r="I84" s="24"/>
      <c r="J84" s="24"/>
      <c r="K84" s="56">
        <f>SUBTOTAL(109,Log_Art12319[Cost])</f>
        <v>230</v>
      </c>
    </row>
  </sheetData>
  <sheetProtection sheet="1" objects="1" scenarios="1"/>
  <protectedRanges>
    <protectedRange sqref="A3:K51" name="Range1_48_48_48_48_48_1"/>
    <protectedRange sqref="B83:I83 C80:C82 B61:B82 E80:I82 D61:D82 K80:K83" name="Range1_48_48_48_48_48_1_71_3"/>
    <protectedRange sqref="C61:C79 E61:I79 J61:K61 J62:J83 K62:K79" name="Range1_48_48_48_48_48_1_1"/>
    <protectedRange sqref="A61:A83" name="Range2_23_23_23_23_23_23_23_23_23_23_23_23_20_19"/>
  </protectedRanges>
  <mergeCells count="2">
    <mergeCell ref="A1:K1"/>
    <mergeCell ref="A59:K59"/>
  </mergeCells>
  <conditionalFormatting sqref="A1 H61:K83">
    <cfRule type="containsText" dxfId="728" priority="12" operator="containsText" text="Select Machine">
      <formula>NOT(ISERROR(SEARCH("Select Machine",A1)))</formula>
    </cfRule>
  </conditionalFormatting>
  <conditionalFormatting sqref="A3:A51 C3:C51 E3:F51">
    <cfRule type="containsText" dxfId="727" priority="7" operator="containsText" text="Select Machine">
      <formula>NOT(ISERROR(SEARCH("Select Machine",A3)))</formula>
    </cfRule>
  </conditionalFormatting>
  <conditionalFormatting sqref="A3:A51 G3:G51">
    <cfRule type="cellIs" dxfId="726" priority="8" operator="equal">
      <formula>"Select Machine"</formula>
    </cfRule>
  </conditionalFormatting>
  <conditionalFormatting sqref="A61:A83">
    <cfRule type="containsText" dxfId="725" priority="4" operator="containsText" text="Select Machine">
      <formula>NOT(ISERROR(SEARCH("Select Machine",A61)))</formula>
    </cfRule>
    <cfRule type="cellIs" dxfId="724" priority="5" operator="equal">
      <formula>"Select Machine"</formula>
    </cfRule>
  </conditionalFormatting>
  <conditionalFormatting sqref="C61:C83 E61:F83">
    <cfRule type="containsText" dxfId="723" priority="1" operator="containsText" text="Select Machine">
      <formula>NOT(ISERROR(SEARCH("Select Machine",C61)))</formula>
    </cfRule>
  </conditionalFormatting>
  <conditionalFormatting sqref="G3:G51">
    <cfRule type="containsText" dxfId="722" priority="9" operator="containsText" text="Select Machine">
      <formula>NOT(ISERROR(SEARCH("Select Machine",G3)))</formula>
    </cfRule>
  </conditionalFormatting>
  <conditionalFormatting sqref="G61:G83">
    <cfRule type="cellIs" dxfId="721" priority="2" operator="equal">
      <formula>"Select Machine"</formula>
    </cfRule>
    <cfRule type="containsText" dxfId="720" priority="3" operator="containsText" text="Select Machine">
      <formula>NOT(ISERROR(SEARCH("Select Machine",G61)))</formula>
    </cfRule>
  </conditionalFormatting>
  <conditionalFormatting sqref="H3:K51">
    <cfRule type="containsText" dxfId="719" priority="6" operator="containsText" text="Select Machine">
      <formula>NOT(ISERROR(SEARCH("Select Machine",H3)))</formula>
    </cfRule>
  </conditionalFormatting>
  <conditionalFormatting sqref="K85:K86 A86:J86 A87:K1048576">
    <cfRule type="containsText" dxfId="718" priority="10" operator="containsText" text="Select Machine">
      <formula>NOT(ISERROR(SEARCH("Select Machine",A85)))</formula>
    </cfRule>
  </conditionalFormatting>
  <conditionalFormatting sqref="L1:XFD1048576 A2:K2 A54:K58 A59 A60:K60">
    <cfRule type="containsText" dxfId="717" priority="11" operator="containsText" text="Select Machine">
      <formula>NOT(ISERROR(SEARCH("Select Machine",A1)))</formula>
    </cfRule>
  </conditionalFormatting>
  <conditionalFormatting sqref="L59:XFD59">
    <cfRule type="cellIs" dxfId="716" priority="13" operator="equal">
      <formula>"Select Machine"</formula>
    </cfRule>
  </conditionalFormatting>
  <dataValidations count="8">
    <dataValidation type="list" allowBlank="1" showInputMessage="1" showErrorMessage="1" sqref="J3:J51 J61:J83" xr:uid="{FDA91B08-7415-40A6-934F-8ABE8FC8B1ED}">
      <formula1>Staff</formula1>
    </dataValidation>
    <dataValidation type="list" allowBlank="1" showInputMessage="1" showErrorMessage="1" sqref="A61:A83 A2:A51" xr:uid="{B8189A58-4CC0-49CB-A35C-84BD64E765DF}">
      <formula1>MachineList</formula1>
    </dataValidation>
    <dataValidation allowBlank="1" showInputMessage="1" showErrorMessage="1" sqref="F86:F1048576 F1:F2 F54:F60" xr:uid="{D357E9F8-DD58-4EEA-918A-A5C0918F0035}"/>
    <dataValidation type="list" allowBlank="1" showInputMessage="1" showErrorMessage="1" sqref="J54" xr:uid="{77E25C6C-7AA5-46F6-B06D-03EC98318D40}">
      <formula1>"Conrad,Spencer,Kiran,Jack Wayne,Morgan"</formula1>
    </dataValidation>
    <dataValidation type="list" allowBlank="1" showInputMessage="1" showErrorMessage="1" sqref="A54 A86" xr:uid="{BDD827AA-6A40-48E4-B5A2-7C1E3BA25C9F}">
      <formula1>"Prusa,Ultimaker S5,Ultimaker 2+,Raise3D Pro 2 Plus,Markforged Onyx,Form 2, Form 2 Specialty,Plasma,Forest CNC"</formula1>
    </dataValidation>
    <dataValidation type="list" allowBlank="1" showInputMessage="1" showErrorMessage="1" sqref="A60" xr:uid="{2BC63399-D9FD-49E2-84C1-07421B016FB5}">
      <formula1>"Prusa,Raise3D Pro 2 Plus,Ultimaker S5,Ultimaker 2+,Markforged Onyx,Form 2,Form 2 Specialty"</formula1>
    </dataValidation>
    <dataValidation type="list" allowBlank="1" showInputMessage="1" showErrorMessage="1" sqref="K54 K3:K51 K61:K83" xr:uid="{4DF044EA-BAD3-4386-8292-4AC1F86A809D}">
      <formula1>"Open,Closed"</formula1>
    </dataValidation>
    <dataValidation type="whole" allowBlank="1" showInputMessage="1" showErrorMessage="1" sqref="F61:F83 I3:I51 I54 I61:I83 I86 F3:F51" xr:uid="{9A80C97A-B036-4802-B4ED-654F7DEFD2A4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E5CC-D0E2-4FAD-833F-6378EC1ABFE1}">
  <dimension ref="A1:K97"/>
  <sheetViews>
    <sheetView topLeftCell="A15" zoomScaleNormal="100" workbookViewId="0">
      <selection activeCell="H37" sqref="H37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7.1406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_xlfn.XLOOKUP(Log_Atkinson14520[[#This Row],[Machine ]], PriceTable[Machine], PriceTable[$/Unit], "")</f>
        <v>0.1</v>
      </c>
      <c r="C3" s="25">
        <v>452</v>
      </c>
      <c r="D3" s="38">
        <v>22.6</v>
      </c>
      <c r="E3" s="23" t="s">
        <v>82</v>
      </c>
      <c r="F3" s="24" t="s">
        <v>90</v>
      </c>
      <c r="G3" s="25" t="s">
        <v>25</v>
      </c>
      <c r="H3" s="26">
        <v>45966</v>
      </c>
      <c r="I3" s="24">
        <v>61</v>
      </c>
      <c r="J3" s="24" t="s">
        <v>23</v>
      </c>
      <c r="K3" s="24" t="s">
        <v>20</v>
      </c>
    </row>
    <row r="4" spans="1:11" ht="15.75">
      <c r="A4" s="36" t="s">
        <v>16</v>
      </c>
      <c r="B4" s="37">
        <f>_xlfn.XLOOKUP(Log_Atkinson14520[[#This Row],[Machine ]], PriceTable[Machine], PriceTable[$/Unit], "")</f>
        <v>0.1</v>
      </c>
      <c r="C4" s="29">
        <v>1037</v>
      </c>
      <c r="D4" s="38">
        <f>IF(OR(Log_Atkinson14520[[#This Row],[Machine ]]="", Log_Atkinson14520[[#This Row],[Unit Amount]]=""), "", IFERROR(MAX(Log_Atkinson14520[[#This Row],[Unit Amount]] * Log_Atkinson14520[[#This Row],[$/Unit]], 3), ""))</f>
        <v>103.7</v>
      </c>
      <c r="E4" s="27" t="s">
        <v>86</v>
      </c>
      <c r="F4" s="24"/>
      <c r="G4" s="29" t="s">
        <v>25</v>
      </c>
      <c r="H4" s="30">
        <v>45973</v>
      </c>
      <c r="I4" s="28">
        <v>74</v>
      </c>
      <c r="J4" s="24" t="s">
        <v>30</v>
      </c>
      <c r="K4" s="28" t="s">
        <v>20</v>
      </c>
    </row>
    <row r="5" spans="1:11" ht="15.75">
      <c r="A5" s="36" t="s">
        <v>87</v>
      </c>
      <c r="B5" s="39">
        <f>_xlfn.XLOOKUP(Log_Atkinson14520[[#This Row],[Machine ]], PriceTable[Machine], PriceTable[$/Unit], "")</f>
        <v>20</v>
      </c>
      <c r="C5" s="25">
        <v>3</v>
      </c>
      <c r="D5" s="38">
        <f>IF(OR(Log_Atkinson14520[[#This Row],[Machine ]]="", Log_Atkinson14520[[#This Row],[Unit Amount]]=""), "", IFERROR(MAX(Log_Atkinson14520[[#This Row],[Unit Amount]] * Log_Atkinson14520[[#This Row],[$/Unit]], 3), ""))</f>
        <v>60</v>
      </c>
      <c r="E5" s="23" t="s">
        <v>91</v>
      </c>
      <c r="F5" s="24"/>
      <c r="G5" s="25" t="s">
        <v>62</v>
      </c>
      <c r="H5" s="26">
        <v>45973</v>
      </c>
      <c r="I5" s="24">
        <v>75</v>
      </c>
      <c r="J5" s="24" t="s">
        <v>35</v>
      </c>
      <c r="K5" s="24" t="s">
        <v>20</v>
      </c>
    </row>
    <row r="6" spans="1:11" ht="15.75">
      <c r="A6" s="36" t="s">
        <v>16</v>
      </c>
      <c r="B6" s="37">
        <f>_xlfn.XLOOKUP(Log_Atkinson14520[[#This Row],[Machine ]], PriceTable[Machine], PriceTable[$/Unit], "")</f>
        <v>0.1</v>
      </c>
      <c r="C6" s="59">
        <v>68</v>
      </c>
      <c r="D6" s="38">
        <f>IF(OR(Log_Atkinson14520[[#This Row],[Machine ]]="", Log_Atkinson14520[[#This Row],[Unit Amount]]=""), "", IFERROR(MAX(Log_Atkinson14520[[#This Row],[Unit Amount]] * Log_Atkinson14520[[#This Row],[$/Unit]], 3), ""))</f>
        <v>6.8000000000000007</v>
      </c>
      <c r="E6" s="27" t="s">
        <v>92</v>
      </c>
      <c r="F6" s="24"/>
      <c r="G6" s="29" t="s">
        <v>36</v>
      </c>
      <c r="H6" s="26">
        <v>45974</v>
      </c>
      <c r="I6" s="28">
        <v>76</v>
      </c>
      <c r="J6" s="24" t="s">
        <v>27</v>
      </c>
      <c r="K6" s="28" t="s">
        <v>20</v>
      </c>
    </row>
    <row r="7" spans="1:11" ht="15.75">
      <c r="A7" s="36" t="s">
        <v>21</v>
      </c>
      <c r="B7" s="39" t="str">
        <f>_xlfn.XLOOKUP(Log_Atkinson14520[[#This Row],[Machine ]], PriceTable[Machine], PriceTable[$/Unit], "")</f>
        <v/>
      </c>
      <c r="C7" s="29">
        <v>50</v>
      </c>
      <c r="D7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7" s="23" t="s">
        <v>57</v>
      </c>
      <c r="F7" s="24"/>
      <c r="G7" s="25" t="s">
        <v>93</v>
      </c>
      <c r="H7" s="30">
        <v>45975</v>
      </c>
      <c r="I7" s="24">
        <v>77</v>
      </c>
      <c r="J7" s="24" t="s">
        <v>75</v>
      </c>
      <c r="K7" s="24" t="s">
        <v>20</v>
      </c>
    </row>
    <row r="8" spans="1:11" ht="15.75">
      <c r="A8" s="36" t="s">
        <v>16</v>
      </c>
      <c r="B8" s="37">
        <f>_xlfn.XLOOKUP(Log_Atkinson14520[[#This Row],[Machine ]], PriceTable[Machine], PriceTable[$/Unit], "")</f>
        <v>0.1</v>
      </c>
      <c r="C8" s="29">
        <v>12.77</v>
      </c>
      <c r="D8" s="38">
        <f>IF(OR(Log_Atkinson14520[[#This Row],[Machine ]]="", Log_Atkinson14520[[#This Row],[Unit Amount]]=""), "", IFERROR(MAX(Log_Atkinson14520[[#This Row],[Unit Amount]] * Log_Atkinson14520[[#This Row],[$/Unit]], 3), ""))</f>
        <v>3</v>
      </c>
      <c r="E8" s="27" t="s">
        <v>94</v>
      </c>
      <c r="F8" s="24"/>
      <c r="G8" s="29" t="s">
        <v>64</v>
      </c>
      <c r="H8" s="30">
        <v>45978</v>
      </c>
      <c r="I8" s="28">
        <v>78</v>
      </c>
      <c r="J8" s="24" t="s">
        <v>45</v>
      </c>
      <c r="K8" s="28" t="s">
        <v>20</v>
      </c>
    </row>
    <row r="9" spans="1:11" ht="15.75">
      <c r="A9" s="36" t="s">
        <v>16</v>
      </c>
      <c r="B9" s="39">
        <f>_xlfn.XLOOKUP(Log_Atkinson14520[[#This Row],[Machine ]], PriceTable[Machine], PriceTable[$/Unit], "")</f>
        <v>0.1</v>
      </c>
      <c r="C9" s="25">
        <v>360</v>
      </c>
      <c r="D9" s="38">
        <f>IF(OR(Log_Atkinson14520[[#This Row],[Machine ]]="", Log_Atkinson14520[[#This Row],[Unit Amount]]=""), "", IFERROR(MAX(Log_Atkinson14520[[#This Row],[Unit Amount]] * Log_Atkinson14520[[#This Row],[$/Unit]], 3), ""))</f>
        <v>36</v>
      </c>
      <c r="E9" s="23" t="s">
        <v>95</v>
      </c>
      <c r="F9" s="24"/>
      <c r="G9" s="25" t="s">
        <v>96</v>
      </c>
      <c r="H9" s="26">
        <v>45978</v>
      </c>
      <c r="I9" s="24">
        <v>79</v>
      </c>
      <c r="J9" s="24" t="s">
        <v>30</v>
      </c>
      <c r="K9" s="24" t="s">
        <v>20</v>
      </c>
    </row>
    <row r="10" spans="1:11" ht="15.75">
      <c r="A10" s="36" t="s">
        <v>21</v>
      </c>
      <c r="B10" s="37" t="str">
        <f>_xlfn.XLOOKUP(Log_Atkinson14520[[#This Row],[Machine ]], PriceTable[Machine], PriceTable[$/Unit], "")</f>
        <v/>
      </c>
      <c r="C10" s="29">
        <v>17</v>
      </c>
      <c r="D10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10" s="27" t="s">
        <v>22</v>
      </c>
      <c r="F10" s="24"/>
      <c r="G10" s="29" t="s">
        <v>64</v>
      </c>
      <c r="H10" s="30">
        <v>45978</v>
      </c>
      <c r="I10" s="28">
        <v>80</v>
      </c>
      <c r="J10" s="24" t="s">
        <v>80</v>
      </c>
      <c r="K10" s="28" t="s">
        <v>20</v>
      </c>
    </row>
    <row r="11" spans="1:11" ht="15.75">
      <c r="A11" s="36" t="s">
        <v>16</v>
      </c>
      <c r="B11" s="39">
        <f>_xlfn.XLOOKUP(Log_Atkinson14520[[#This Row],[Machine ]], PriceTable[Machine], PriceTable[$/Unit], "")</f>
        <v>0.1</v>
      </c>
      <c r="C11" s="25">
        <v>143</v>
      </c>
      <c r="D11" s="38">
        <f>IF(OR(Log_Atkinson14520[[#This Row],[Machine ]]="", Log_Atkinson14520[[#This Row],[Unit Amount]]=""), "", IFERROR(MAX(Log_Atkinson14520[[#This Row],[Unit Amount]] * Log_Atkinson14520[[#This Row],[$/Unit]], 3), ""))</f>
        <v>14.3</v>
      </c>
      <c r="E11" s="23" t="s">
        <v>92</v>
      </c>
      <c r="F11" s="24"/>
      <c r="G11" s="25" t="s">
        <v>25</v>
      </c>
      <c r="H11" s="26">
        <v>45978</v>
      </c>
      <c r="I11" s="24">
        <v>81</v>
      </c>
      <c r="J11" s="24" t="s">
        <v>23</v>
      </c>
      <c r="K11" s="24" t="s">
        <v>20</v>
      </c>
    </row>
    <row r="12" spans="1:11" ht="15.75">
      <c r="A12" s="36" t="s">
        <v>16</v>
      </c>
      <c r="B12" s="37">
        <f>_xlfn.XLOOKUP(Log_Atkinson14520[[#This Row],[Machine ]], PriceTable[Machine], PriceTable[$/Unit], "")</f>
        <v>0.1</v>
      </c>
      <c r="C12" s="29">
        <v>55</v>
      </c>
      <c r="D12" s="38">
        <f>IF(OR(Log_Atkinson14520[[#This Row],[Machine ]]="", Log_Atkinson14520[[#This Row],[Unit Amount]]=""), "", IFERROR(MAX(Log_Atkinson14520[[#This Row],[Unit Amount]] * Log_Atkinson14520[[#This Row],[$/Unit]], 3), ""))</f>
        <v>5.5</v>
      </c>
      <c r="E12" s="27" t="s">
        <v>97</v>
      </c>
      <c r="F12" s="24"/>
      <c r="G12" s="29" t="s">
        <v>62</v>
      </c>
      <c r="H12" s="30">
        <v>45978</v>
      </c>
      <c r="I12" s="28">
        <v>82</v>
      </c>
      <c r="J12" s="24" t="s">
        <v>40</v>
      </c>
      <c r="K12" s="28" t="s">
        <v>20</v>
      </c>
    </row>
    <row r="13" spans="1:11" ht="15.75">
      <c r="A13" s="36" t="s">
        <v>16</v>
      </c>
      <c r="B13" s="39">
        <f>_xlfn.XLOOKUP(Log_Atkinson14520[[#This Row],[Machine ]], PriceTable[Machine], PriceTable[$/Unit], "")</f>
        <v>0.1</v>
      </c>
      <c r="C13" s="25">
        <v>4.32</v>
      </c>
      <c r="D13" s="38">
        <f>IF(OR(Log_Atkinson14520[[#This Row],[Machine ]]="", Log_Atkinson14520[[#This Row],[Unit Amount]]=""), "", IFERROR(MAX(Log_Atkinson14520[[#This Row],[Unit Amount]] * Log_Atkinson14520[[#This Row],[$/Unit]], 3), ""))</f>
        <v>3</v>
      </c>
      <c r="E13" s="23" t="s">
        <v>98</v>
      </c>
      <c r="F13" s="24"/>
      <c r="G13" s="25" t="s">
        <v>62</v>
      </c>
      <c r="H13" s="26">
        <v>45978</v>
      </c>
      <c r="I13" s="24">
        <v>83</v>
      </c>
      <c r="J13" s="24" t="s">
        <v>23</v>
      </c>
      <c r="K13" s="24" t="s">
        <v>20</v>
      </c>
    </row>
    <row r="14" spans="1:11" ht="15.75">
      <c r="A14" s="36" t="s">
        <v>16</v>
      </c>
      <c r="B14" s="37">
        <f>_xlfn.XLOOKUP(Log_Atkinson14520[[#This Row],[Machine ]], PriceTable[Machine], PriceTable[$/Unit], "")</f>
        <v>0.1</v>
      </c>
      <c r="C14" s="29">
        <v>71</v>
      </c>
      <c r="D14" s="38">
        <f>IF(OR(Log_Atkinson14520[[#This Row],[Machine ]]="", Log_Atkinson14520[[#This Row],[Unit Amount]]=""), "", IFERROR(MAX(Log_Atkinson14520[[#This Row],[Unit Amount]] * Log_Atkinson14520[[#This Row],[$/Unit]], 3), ""))</f>
        <v>7.1000000000000005</v>
      </c>
      <c r="E14" s="27" t="s">
        <v>92</v>
      </c>
      <c r="F14" s="24"/>
      <c r="G14" s="29" t="s">
        <v>25</v>
      </c>
      <c r="H14" s="30">
        <v>45978</v>
      </c>
      <c r="I14" s="28">
        <v>84</v>
      </c>
      <c r="J14" s="24" t="s">
        <v>75</v>
      </c>
      <c r="K14" s="28" t="s">
        <v>20</v>
      </c>
    </row>
    <row r="15" spans="1:11" ht="15.75">
      <c r="A15" s="36" t="s">
        <v>16</v>
      </c>
      <c r="B15" s="39">
        <f>_xlfn.XLOOKUP(Log_Atkinson14520[[#This Row],[Machine ]], PriceTable[Machine], PriceTable[$/Unit], "")</f>
        <v>0.1</v>
      </c>
      <c r="C15" s="25">
        <v>51</v>
      </c>
      <c r="D15" s="38">
        <f>IF(OR(Log_Atkinson14520[[#This Row],[Machine ]]="", Log_Atkinson14520[[#This Row],[Unit Amount]]=""), "", IFERROR(MAX(Log_Atkinson14520[[#This Row],[Unit Amount]] * Log_Atkinson14520[[#This Row],[$/Unit]], 3), ""))</f>
        <v>5.1000000000000005</v>
      </c>
      <c r="E15" s="23" t="s">
        <v>17</v>
      </c>
      <c r="F15" s="24"/>
      <c r="G15" s="25" t="s">
        <v>64</v>
      </c>
      <c r="H15" s="26">
        <v>45979</v>
      </c>
      <c r="I15" s="24">
        <v>85</v>
      </c>
      <c r="J15" s="24" t="s">
        <v>19</v>
      </c>
      <c r="K15" s="24" t="s">
        <v>20</v>
      </c>
    </row>
    <row r="16" spans="1:11" ht="15.75">
      <c r="A16" s="36" t="s">
        <v>16</v>
      </c>
      <c r="B16" s="37">
        <f>_xlfn.XLOOKUP(Log_Atkinson14520[[#This Row],[Machine ]], PriceTable[Machine], PriceTable[$/Unit], "")</f>
        <v>0.1</v>
      </c>
      <c r="C16" s="29">
        <v>58</v>
      </c>
      <c r="D16" s="38">
        <f>IF(OR(Log_Atkinson14520[[#This Row],[Machine ]]="", Log_Atkinson14520[[#This Row],[Unit Amount]]=""), "", IFERROR(MAX(Log_Atkinson14520[[#This Row],[Unit Amount]] * Log_Atkinson14520[[#This Row],[$/Unit]], 3), ""))</f>
        <v>5.8000000000000007</v>
      </c>
      <c r="E16" s="27" t="s">
        <v>41</v>
      </c>
      <c r="F16" s="24"/>
      <c r="G16" s="29" t="s">
        <v>99</v>
      </c>
      <c r="H16" s="30">
        <v>45979</v>
      </c>
      <c r="I16" s="28">
        <v>86</v>
      </c>
      <c r="J16" s="24" t="s">
        <v>27</v>
      </c>
      <c r="K16" s="28" t="s">
        <v>20</v>
      </c>
    </row>
    <row r="17" spans="1:11" ht="15.75">
      <c r="A17" s="36" t="s">
        <v>16</v>
      </c>
      <c r="B17" s="39">
        <f>_xlfn.XLOOKUP(Log_Atkinson14520[[#This Row],[Machine ]], PriceTable[Machine], PriceTable[$/Unit], "")</f>
        <v>0.1</v>
      </c>
      <c r="C17" s="25">
        <v>444</v>
      </c>
      <c r="D17" s="38">
        <f>IF(OR(Log_Atkinson14520[[#This Row],[Machine ]]="", Log_Atkinson14520[[#This Row],[Unit Amount]]=""), "", IFERROR(MAX(Log_Atkinson14520[[#This Row],[Unit Amount]] * Log_Atkinson14520[[#This Row],[$/Unit]], 3), ""))</f>
        <v>44.400000000000006</v>
      </c>
      <c r="E17" s="23" t="s">
        <v>92</v>
      </c>
      <c r="F17" s="24"/>
      <c r="G17" s="25" t="s">
        <v>36</v>
      </c>
      <c r="H17" s="26">
        <v>45980</v>
      </c>
      <c r="I17" s="24">
        <v>87</v>
      </c>
      <c r="J17" s="24" t="s">
        <v>30</v>
      </c>
      <c r="K17" s="24" t="s">
        <v>20</v>
      </c>
    </row>
    <row r="18" spans="1:11" ht="15.75">
      <c r="A18" s="36" t="s">
        <v>16</v>
      </c>
      <c r="B18" s="37">
        <f>_xlfn.XLOOKUP(Log_Atkinson14520[[#This Row],[Machine ]], PriceTable[Machine], PriceTable[$/Unit], "")</f>
        <v>0.1</v>
      </c>
      <c r="C18" s="29">
        <v>300</v>
      </c>
      <c r="D18" s="38">
        <f>IF(OR(Log_Atkinson14520[[#This Row],[Machine ]]="", Log_Atkinson14520[[#This Row],[Unit Amount]]=""), "", IFERROR(MAX(Log_Atkinson14520[[#This Row],[Unit Amount]] * Log_Atkinson14520[[#This Row],[$/Unit]], 3), ""))</f>
        <v>30</v>
      </c>
      <c r="E18" s="27" t="s">
        <v>100</v>
      </c>
      <c r="F18" s="24"/>
      <c r="G18" s="29" t="s">
        <v>101</v>
      </c>
      <c r="H18" s="30">
        <v>45980</v>
      </c>
      <c r="I18" s="28">
        <v>88</v>
      </c>
      <c r="J18" s="24" t="s">
        <v>47</v>
      </c>
      <c r="K18" s="28" t="s">
        <v>20</v>
      </c>
    </row>
    <row r="19" spans="1:11" ht="15.75">
      <c r="A19" s="36" t="s">
        <v>21</v>
      </c>
      <c r="B19" s="39" t="str">
        <f>_xlfn.XLOOKUP(Log_Atkinson14520[[#This Row],[Machine ]], PriceTable[Machine], PriceTable[$/Unit], "")</f>
        <v/>
      </c>
      <c r="C19" s="25">
        <v>44</v>
      </c>
      <c r="D19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19" s="23" t="s">
        <v>22</v>
      </c>
      <c r="F19" s="24"/>
      <c r="G19" s="25" t="s">
        <v>64</v>
      </c>
      <c r="H19" s="26">
        <v>45981</v>
      </c>
      <c r="I19" s="24">
        <v>89</v>
      </c>
      <c r="J19" s="24" t="s">
        <v>49</v>
      </c>
      <c r="K19" s="24" t="s">
        <v>20</v>
      </c>
    </row>
    <row r="20" spans="1:11" ht="15.75">
      <c r="A20" s="36" t="s">
        <v>16</v>
      </c>
      <c r="B20" s="37">
        <f>_xlfn.XLOOKUP(Log_Atkinson14520[[#This Row],[Machine ]], PriceTable[Machine], PriceTable[$/Unit], "")</f>
        <v>0.1</v>
      </c>
      <c r="C20" s="29">
        <v>95</v>
      </c>
      <c r="D20" s="38">
        <f>IF(OR(Log_Atkinson14520[[#This Row],[Machine ]]="", Log_Atkinson14520[[#This Row],[Unit Amount]]=""), "", IFERROR(MAX(Log_Atkinson14520[[#This Row],[Unit Amount]] * Log_Atkinson14520[[#This Row],[$/Unit]], 3), ""))</f>
        <v>9.5</v>
      </c>
      <c r="E20" s="27" t="s">
        <v>97</v>
      </c>
      <c r="F20" s="24"/>
      <c r="G20" s="29" t="s">
        <v>102</v>
      </c>
      <c r="H20" s="30">
        <v>45981</v>
      </c>
      <c r="I20" s="28">
        <v>90</v>
      </c>
      <c r="J20" s="24" t="s">
        <v>19</v>
      </c>
      <c r="K20" s="28" t="s">
        <v>20</v>
      </c>
    </row>
    <row r="21" spans="1:11" ht="15.75">
      <c r="A21" s="36" t="s">
        <v>16</v>
      </c>
      <c r="B21" s="39">
        <f>_xlfn.XLOOKUP(Log_Atkinson14520[[#This Row],[Machine ]], PriceTable[Machine], PriceTable[$/Unit], "")</f>
        <v>0.1</v>
      </c>
      <c r="C21" s="25">
        <v>158</v>
      </c>
      <c r="D21" s="38">
        <f>IF(OR(Log_Atkinson14520[[#This Row],[Machine ]]="", Log_Atkinson14520[[#This Row],[Unit Amount]]=""), "", IFERROR(MAX(Log_Atkinson14520[[#This Row],[Unit Amount]] * Log_Atkinson14520[[#This Row],[$/Unit]], 3), ""))</f>
        <v>15.8</v>
      </c>
      <c r="E21" s="23" t="s">
        <v>92</v>
      </c>
      <c r="F21" s="24"/>
      <c r="G21" s="25" t="s">
        <v>36</v>
      </c>
      <c r="H21" s="26">
        <v>45981</v>
      </c>
      <c r="I21" s="24">
        <v>91</v>
      </c>
      <c r="J21" s="24" t="s">
        <v>19</v>
      </c>
      <c r="K21" s="24" t="s">
        <v>20</v>
      </c>
    </row>
    <row r="22" spans="1:11" ht="15.75">
      <c r="A22" s="36" t="s">
        <v>16</v>
      </c>
      <c r="B22" s="37">
        <f>_xlfn.XLOOKUP(Log_Atkinson14520[[#This Row],[Machine ]], PriceTable[Machine], PriceTable[$/Unit], "")</f>
        <v>0.1</v>
      </c>
      <c r="C22" s="29">
        <v>333</v>
      </c>
      <c r="D22" s="38">
        <f>IF(OR(Log_Atkinson14520[[#This Row],[Machine ]]="", Log_Atkinson14520[[#This Row],[Unit Amount]]=""), "", IFERROR(MAX(Log_Atkinson14520[[#This Row],[Unit Amount]] * Log_Atkinson14520[[#This Row],[$/Unit]], 3), ""))</f>
        <v>33.300000000000004</v>
      </c>
      <c r="E22" s="27" t="s">
        <v>103</v>
      </c>
      <c r="F22" s="24"/>
      <c r="G22" s="29" t="s">
        <v>104</v>
      </c>
      <c r="H22" s="30">
        <v>45982</v>
      </c>
      <c r="I22" s="28">
        <v>92</v>
      </c>
      <c r="J22" s="24" t="s">
        <v>19</v>
      </c>
      <c r="K22" s="28" t="s">
        <v>20</v>
      </c>
    </row>
    <row r="23" spans="1:11" ht="15.75">
      <c r="A23" s="36" t="s">
        <v>16</v>
      </c>
      <c r="B23" s="39">
        <f>_xlfn.XLOOKUP(Log_Atkinson14520[[#This Row],[Machine ]], PriceTable[Machine], PriceTable[$/Unit], "")</f>
        <v>0.1</v>
      </c>
      <c r="C23" s="25">
        <v>35</v>
      </c>
      <c r="D23" s="38">
        <f>IF(OR(Log_Atkinson14520[[#This Row],[Machine ]]="", Log_Atkinson14520[[#This Row],[Unit Amount]]=""), "", IFERROR(MAX(Log_Atkinson14520[[#This Row],[Unit Amount]] * Log_Atkinson14520[[#This Row],[$/Unit]], 3), ""))</f>
        <v>3.5</v>
      </c>
      <c r="E23" s="23" t="s">
        <v>97</v>
      </c>
      <c r="F23" s="24"/>
      <c r="G23" s="25" t="s">
        <v>102</v>
      </c>
      <c r="H23" s="26">
        <v>45982</v>
      </c>
      <c r="I23" s="24">
        <v>93</v>
      </c>
      <c r="J23" s="24" t="s">
        <v>19</v>
      </c>
      <c r="K23" s="24" t="s">
        <v>20</v>
      </c>
    </row>
    <row r="24" spans="1:11" ht="15.75">
      <c r="A24" s="36" t="s">
        <v>16</v>
      </c>
      <c r="B24" s="37">
        <f>_xlfn.XLOOKUP(Log_Atkinson14520[[#This Row],[Machine ]], PriceTable[Machine], PriceTable[$/Unit], "")</f>
        <v>0.1</v>
      </c>
      <c r="C24" s="29">
        <v>265</v>
      </c>
      <c r="D24" s="38">
        <f>IF(OR(Log_Atkinson14520[[#This Row],[Machine ]]="", Log_Atkinson14520[[#This Row],[Unit Amount]]=""), "", IFERROR(MAX(Log_Atkinson14520[[#This Row],[Unit Amount]] * Log_Atkinson14520[[#This Row],[$/Unit]], 3), ""))</f>
        <v>26.5</v>
      </c>
      <c r="E24" s="27" t="s">
        <v>105</v>
      </c>
      <c r="F24" s="24"/>
      <c r="G24" s="29" t="s">
        <v>44</v>
      </c>
      <c r="H24" s="30">
        <v>45982</v>
      </c>
      <c r="I24" s="28">
        <v>94</v>
      </c>
      <c r="J24" s="24" t="s">
        <v>19</v>
      </c>
      <c r="K24" s="28" t="s">
        <v>20</v>
      </c>
    </row>
    <row r="25" spans="1:11" ht="15.75">
      <c r="A25" s="36" t="s">
        <v>16</v>
      </c>
      <c r="B25" s="39">
        <f>_xlfn.XLOOKUP(Log_Atkinson14520[[#This Row],[Machine ]], PriceTable[Machine], PriceTable[$/Unit], "")</f>
        <v>0.1</v>
      </c>
      <c r="C25" s="25">
        <v>63</v>
      </c>
      <c r="D25" s="38">
        <f>IF(OR(Log_Atkinson14520[[#This Row],[Machine ]]="", Log_Atkinson14520[[#This Row],[Unit Amount]]=""), "", IFERROR(MAX(Log_Atkinson14520[[#This Row],[Unit Amount]] * Log_Atkinson14520[[#This Row],[$/Unit]], 3), ""))</f>
        <v>6.3000000000000007</v>
      </c>
      <c r="E25" s="23" t="s">
        <v>98</v>
      </c>
      <c r="F25" s="24"/>
      <c r="G25" s="25" t="s">
        <v>102</v>
      </c>
      <c r="H25" s="26">
        <v>45982</v>
      </c>
      <c r="I25" s="24">
        <v>95</v>
      </c>
      <c r="J25" s="24" t="s">
        <v>19</v>
      </c>
      <c r="K25" s="24" t="s">
        <v>20</v>
      </c>
    </row>
    <row r="26" spans="1:11" ht="15.75">
      <c r="A26" s="36" t="s">
        <v>16</v>
      </c>
      <c r="B26" s="37">
        <f>_xlfn.XLOOKUP(Log_Atkinson14520[[#This Row],[Machine ]], PriceTable[Machine], PriceTable[$/Unit], "")</f>
        <v>0.1</v>
      </c>
      <c r="C26" s="29">
        <v>248</v>
      </c>
      <c r="D26" s="38">
        <f>IF(OR(Log_Atkinson14520[[#This Row],[Machine ]]="", Log_Atkinson14520[[#This Row],[Unit Amount]]=""), "", IFERROR(MAX(Log_Atkinson14520[[#This Row],[Unit Amount]] * Log_Atkinson14520[[#This Row],[$/Unit]], 3), ""))</f>
        <v>24.8</v>
      </c>
      <c r="E26" s="27" t="s">
        <v>100</v>
      </c>
      <c r="F26" s="24"/>
      <c r="G26" s="29" t="s">
        <v>106</v>
      </c>
      <c r="H26" s="30">
        <v>45982</v>
      </c>
      <c r="I26" s="28">
        <v>96</v>
      </c>
      <c r="J26" s="24" t="s">
        <v>19</v>
      </c>
      <c r="K26" s="28" t="s">
        <v>20</v>
      </c>
    </row>
    <row r="27" spans="1:11" ht="15.75">
      <c r="A27" s="36" t="s">
        <v>16</v>
      </c>
      <c r="B27" s="39">
        <f>_xlfn.XLOOKUP(Log_Atkinson14520[[#This Row],[Machine ]], PriceTable[Machine], PriceTable[$/Unit], "")</f>
        <v>0.1</v>
      </c>
      <c r="C27" s="25">
        <v>265</v>
      </c>
      <c r="D27" s="38">
        <f>IF(OR(Log_Atkinson14520[[#This Row],[Machine ]]="", Log_Atkinson14520[[#This Row],[Unit Amount]]=""), "", IFERROR(MAX(Log_Atkinson14520[[#This Row],[Unit Amount]] * Log_Atkinson14520[[#This Row],[$/Unit]], 3), ""))</f>
        <v>26.5</v>
      </c>
      <c r="E27" s="23" t="s">
        <v>107</v>
      </c>
      <c r="F27" s="24"/>
      <c r="G27" s="25" t="s">
        <v>53</v>
      </c>
      <c r="H27" s="26">
        <v>45985</v>
      </c>
      <c r="I27" s="24">
        <v>97</v>
      </c>
      <c r="J27" s="24" t="s">
        <v>30</v>
      </c>
      <c r="K27" s="24" t="s">
        <v>20</v>
      </c>
    </row>
    <row r="28" spans="1:11" ht="15.75">
      <c r="A28" s="36" t="s">
        <v>16</v>
      </c>
      <c r="B28" s="37">
        <f>_xlfn.XLOOKUP(Log_Atkinson14520[[#This Row],[Machine ]], PriceTable[Machine], PriceTable[$/Unit], "")</f>
        <v>0.1</v>
      </c>
      <c r="C28" s="29">
        <v>20</v>
      </c>
      <c r="D28" s="38">
        <f>IF(OR(Log_Atkinson14520[[#This Row],[Machine ]]="", Log_Atkinson14520[[#This Row],[Unit Amount]]=""), "", IFERROR(MAX(Log_Atkinson14520[[#This Row],[Unit Amount]] * Log_Atkinson14520[[#This Row],[$/Unit]], 3), ""))</f>
        <v>3</v>
      </c>
      <c r="E28" s="27" t="s">
        <v>108</v>
      </c>
      <c r="F28" s="24"/>
      <c r="G28" s="29" t="s">
        <v>60</v>
      </c>
      <c r="H28" s="30">
        <v>45985</v>
      </c>
      <c r="I28" s="28">
        <v>98</v>
      </c>
      <c r="J28" s="24" t="s">
        <v>23</v>
      </c>
      <c r="K28" s="28" t="s">
        <v>20</v>
      </c>
    </row>
    <row r="29" spans="1:11" ht="15.75">
      <c r="A29" s="36" t="s">
        <v>16</v>
      </c>
      <c r="B29" s="39">
        <f>_xlfn.XLOOKUP(Log_Atkinson14520[[#This Row],[Machine ]], PriceTable[Machine], PriceTable[$/Unit], "")</f>
        <v>0.1</v>
      </c>
      <c r="C29" s="25">
        <v>8</v>
      </c>
      <c r="D29" s="38">
        <f>IF(OR(Log_Atkinson14520[[#This Row],[Machine ]]="", Log_Atkinson14520[[#This Row],[Unit Amount]]=""), "", IFERROR(MAX(Log_Atkinson14520[[#This Row],[Unit Amount]] * Log_Atkinson14520[[#This Row],[$/Unit]], 3), ""))</f>
        <v>3</v>
      </c>
      <c r="E29" s="23" t="s">
        <v>17</v>
      </c>
      <c r="F29" s="24"/>
      <c r="G29" s="25" t="s">
        <v>64</v>
      </c>
      <c r="H29" s="26">
        <v>45985</v>
      </c>
      <c r="I29" s="24">
        <v>99</v>
      </c>
      <c r="J29" s="24" t="s">
        <v>30</v>
      </c>
      <c r="K29" s="24" t="s">
        <v>20</v>
      </c>
    </row>
    <row r="30" spans="1:11" ht="15.75">
      <c r="A30" s="36" t="s">
        <v>16</v>
      </c>
      <c r="B30" s="37">
        <f>_xlfn.XLOOKUP(Log_Atkinson14520[[#This Row],[Machine ]], PriceTable[Machine], PriceTable[$/Unit], "")</f>
        <v>0.1</v>
      </c>
      <c r="C30" s="29">
        <v>439</v>
      </c>
      <c r="D30" s="38">
        <f>IF(OR(Log_Atkinson14520[[#This Row],[Machine ]]="", Log_Atkinson14520[[#This Row],[Unit Amount]]=""), "", IFERROR(MAX(Log_Atkinson14520[[#This Row],[Unit Amount]] * Log_Atkinson14520[[#This Row],[$/Unit]], 3), ""))</f>
        <v>43.900000000000006</v>
      </c>
      <c r="E30" s="27" t="s">
        <v>69</v>
      </c>
      <c r="F30" s="24"/>
      <c r="G30" s="60" t="s">
        <v>60</v>
      </c>
      <c r="H30" s="30">
        <v>45985</v>
      </c>
      <c r="I30" s="28">
        <v>100</v>
      </c>
      <c r="J30" s="24" t="s">
        <v>30</v>
      </c>
      <c r="K30" s="28" t="s">
        <v>20</v>
      </c>
    </row>
    <row r="31" spans="1:11" ht="15.75">
      <c r="A31" s="36" t="s">
        <v>16</v>
      </c>
      <c r="B31" s="39">
        <f>_xlfn.XLOOKUP(Log_Atkinson14520[[#This Row],[Machine ]], PriceTable[Machine], PriceTable[$/Unit], "")</f>
        <v>0.1</v>
      </c>
      <c r="C31" s="25">
        <v>126</v>
      </c>
      <c r="D31" s="38">
        <f>IF(OR(Log_Atkinson14520[[#This Row],[Machine ]]="", Log_Atkinson14520[[#This Row],[Unit Amount]]=""), "", IFERROR(MAX(Log_Atkinson14520[[#This Row],[Unit Amount]] * Log_Atkinson14520[[#This Row],[$/Unit]], 3), ""))</f>
        <v>12.600000000000001</v>
      </c>
      <c r="E31" s="27" t="s">
        <v>69</v>
      </c>
      <c r="F31" s="24"/>
      <c r="G31" s="60" t="s">
        <v>60</v>
      </c>
      <c r="H31" s="26">
        <v>45986</v>
      </c>
      <c r="I31" s="24">
        <v>101</v>
      </c>
      <c r="J31" s="24" t="s">
        <v>27</v>
      </c>
      <c r="K31" s="24" t="s">
        <v>20</v>
      </c>
    </row>
    <row r="32" spans="1:11" ht="15.75">
      <c r="A32" s="36" t="s">
        <v>16</v>
      </c>
      <c r="B32" s="37">
        <f>_xlfn.XLOOKUP(Log_Atkinson14520[[#This Row],[Machine ]], PriceTable[Machine], PriceTable[$/Unit], "")</f>
        <v>0.1</v>
      </c>
      <c r="C32" s="29">
        <v>9</v>
      </c>
      <c r="D32" s="38">
        <f>IF(OR(Log_Atkinson14520[[#This Row],[Machine ]]="", Log_Atkinson14520[[#This Row],[Unit Amount]]=""), "", IFERROR(MAX(Log_Atkinson14520[[#This Row],[Unit Amount]] * Log_Atkinson14520[[#This Row],[$/Unit]], 3), ""))</f>
        <v>3</v>
      </c>
      <c r="E32" s="27" t="s">
        <v>109</v>
      </c>
      <c r="F32" s="24"/>
      <c r="G32" s="29" t="s">
        <v>64</v>
      </c>
      <c r="H32" s="30">
        <v>45986</v>
      </c>
      <c r="I32" s="28">
        <v>102</v>
      </c>
      <c r="J32" s="24" t="s">
        <v>23</v>
      </c>
      <c r="K32" s="28" t="s">
        <v>20</v>
      </c>
    </row>
    <row r="33" spans="1:11" ht="15.75">
      <c r="A33" s="36" t="s">
        <v>16</v>
      </c>
      <c r="B33" s="39">
        <f>_xlfn.XLOOKUP(Log_Atkinson14520[[#This Row],[Machine ]], PriceTable[Machine], PriceTable[$/Unit], "")</f>
        <v>0.1</v>
      </c>
      <c r="C33" s="25">
        <v>45</v>
      </c>
      <c r="D33" s="38">
        <f>IF(OR(Log_Atkinson14520[[#This Row],[Machine ]]="", Log_Atkinson14520[[#This Row],[Unit Amount]]=""), "", IFERROR(MAX(Log_Atkinson14520[[#This Row],[Unit Amount]] * Log_Atkinson14520[[#This Row],[$/Unit]], 3), ""))</f>
        <v>4.5</v>
      </c>
      <c r="E33" s="23" t="s">
        <v>97</v>
      </c>
      <c r="F33" s="24"/>
      <c r="G33" s="25" t="s">
        <v>62</v>
      </c>
      <c r="H33" s="26">
        <v>45986</v>
      </c>
      <c r="I33" s="24">
        <v>103</v>
      </c>
      <c r="J33" s="24" t="s">
        <v>32</v>
      </c>
      <c r="K33" s="24" t="s">
        <v>20</v>
      </c>
    </row>
    <row r="34" spans="1:11" ht="15.75">
      <c r="A34" s="36" t="s">
        <v>16</v>
      </c>
      <c r="B34" s="37">
        <f>_xlfn.XLOOKUP(Log_Atkinson14520[[#This Row],[Machine ]], PriceTable[Machine], PriceTable[$/Unit], "")</f>
        <v>0.1</v>
      </c>
      <c r="C34" s="29">
        <v>11</v>
      </c>
      <c r="D34" s="38">
        <f>IF(OR(Log_Atkinson14520[[#This Row],[Machine ]]="", Log_Atkinson14520[[#This Row],[Unit Amount]]=""), "", IFERROR(MAX(Log_Atkinson14520[[#This Row],[Unit Amount]] * Log_Atkinson14520[[#This Row],[$/Unit]], 3), ""))</f>
        <v>3</v>
      </c>
      <c r="E34" s="27" t="s">
        <v>92</v>
      </c>
      <c r="F34" s="24"/>
      <c r="G34" s="29" t="s">
        <v>25</v>
      </c>
      <c r="H34" s="30">
        <v>45986</v>
      </c>
      <c r="I34" s="28">
        <v>104</v>
      </c>
      <c r="J34" s="24" t="s">
        <v>23</v>
      </c>
      <c r="K34" s="28" t="s">
        <v>20</v>
      </c>
    </row>
    <row r="35" spans="1:11" ht="15.75">
      <c r="A35" s="36" t="s">
        <v>16</v>
      </c>
      <c r="B35" s="39">
        <f>_xlfn.XLOOKUP(Log_Atkinson14520[[#This Row],[Machine ]], PriceTable[Machine], PriceTable[$/Unit], "")</f>
        <v>0.1</v>
      </c>
      <c r="C35" s="25">
        <v>297</v>
      </c>
      <c r="D35" s="38">
        <f>IF(OR(Log_Atkinson14520[[#This Row],[Machine ]]="", Log_Atkinson14520[[#This Row],[Unit Amount]]=""), "", IFERROR(MAX(Log_Atkinson14520[[#This Row],[Unit Amount]] * Log_Atkinson14520[[#This Row],[$/Unit]], 3), ""))</f>
        <v>29.700000000000003</v>
      </c>
      <c r="E35" s="23" t="s">
        <v>110</v>
      </c>
      <c r="F35" s="24"/>
      <c r="G35" s="25" t="s">
        <v>60</v>
      </c>
      <c r="H35" s="26">
        <v>45986</v>
      </c>
      <c r="I35" s="24">
        <v>105</v>
      </c>
      <c r="J35" s="24" t="s">
        <v>32</v>
      </c>
      <c r="K35" s="24" t="s">
        <v>20</v>
      </c>
    </row>
    <row r="36" spans="1:11" ht="15.75">
      <c r="A36" s="36" t="s">
        <v>16</v>
      </c>
      <c r="B36" s="39">
        <f>_xlfn.XLOOKUP(Log_Atkinson14520[[#This Row],[Machine ]], PriceTable[Machine], PriceTable[$/Unit], "")</f>
        <v>0.1</v>
      </c>
      <c r="C36" s="25">
        <v>82</v>
      </c>
      <c r="D36" s="38">
        <f>IF(OR(Log_Atkinson14520[[#This Row],[Machine ]]="", Log_Atkinson14520[[#This Row],[Unit Amount]]=""), "", IFERROR(MAX(Log_Atkinson14520[[#This Row],[Unit Amount]] * Log_Atkinson14520[[#This Row],[$/Unit]], 3), ""))</f>
        <v>8.2000000000000011</v>
      </c>
      <c r="E36" s="23" t="s">
        <v>108</v>
      </c>
      <c r="F36" s="24"/>
      <c r="G36" s="25" t="s">
        <v>44</v>
      </c>
      <c r="H36" s="26">
        <v>45986</v>
      </c>
      <c r="I36" s="24">
        <v>106</v>
      </c>
      <c r="J36" s="24" t="s">
        <v>47</v>
      </c>
      <c r="K36" s="24" t="s">
        <v>20</v>
      </c>
    </row>
    <row r="37" spans="1:11" ht="15.75">
      <c r="A37" s="36" t="s">
        <v>12</v>
      </c>
      <c r="B37" s="39">
        <f>_xlfn.XLOOKUP(Log_Atkinson14520[[#This Row],[Machine ]], PriceTable[Machine], PriceTable[$/Unit], "")</f>
        <v>0</v>
      </c>
      <c r="C37" s="25"/>
      <c r="D37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8" customHeight="1">
      <c r="A38" s="36" t="s">
        <v>12</v>
      </c>
      <c r="B38" s="39">
        <f>_xlfn.XLOOKUP(Log_Atkinson14520[[#This Row],[Machine ]], PriceTable[Machine], PriceTable[$/Unit], "")</f>
        <v>0</v>
      </c>
      <c r="C38" s="25"/>
      <c r="D38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38" s="23"/>
      <c r="F38" s="24"/>
      <c r="G38" s="25"/>
      <c r="H38" s="26"/>
      <c r="I38" s="24"/>
      <c r="J38" s="24"/>
      <c r="K38" s="24"/>
    </row>
    <row r="39" spans="1:11" ht="15.75">
      <c r="A39" s="36" t="s">
        <v>12</v>
      </c>
      <c r="B39" s="39">
        <f>_xlfn.XLOOKUP(Log_Atkinson14520[[#This Row],[Machine ]], PriceTable[Machine], PriceTable[$/Unit], "")</f>
        <v>0</v>
      </c>
      <c r="C39" s="25"/>
      <c r="D39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9">
        <f>_xlfn.XLOOKUP(Log_Atkinson14520[[#This Row],[Machine ]], PriceTable[Machine], PriceTable[$/Unit], "")</f>
        <v>0</v>
      </c>
      <c r="C40" s="25"/>
      <c r="D40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0" s="23"/>
      <c r="F40" s="24"/>
      <c r="G40" s="25"/>
      <c r="H40" s="26"/>
      <c r="I40" s="24"/>
      <c r="J40" s="24"/>
      <c r="K40" s="24"/>
    </row>
    <row r="41" spans="1:11" ht="15.75">
      <c r="A41" s="36" t="s">
        <v>12</v>
      </c>
      <c r="B41" s="39">
        <f>_xlfn.XLOOKUP(Log_Atkinson14520[[#This Row],[Machine ]], PriceTable[Machine], PriceTable[$/Unit], "")</f>
        <v>0</v>
      </c>
      <c r="C41" s="25"/>
      <c r="D41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9">
        <f>_xlfn.XLOOKUP(Log_Atkinson14520[[#This Row],[Machine ]], PriceTable[Machine], PriceTable[$/Unit], "")</f>
        <v>0</v>
      </c>
      <c r="C42" s="25"/>
      <c r="D42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2" s="23"/>
      <c r="F42" s="24"/>
      <c r="G42" s="25"/>
      <c r="H42" s="26"/>
      <c r="I42" s="24"/>
      <c r="J42" s="24"/>
      <c r="K42" s="24"/>
    </row>
    <row r="43" spans="1:11" ht="15.75">
      <c r="A43" s="36" t="s">
        <v>12</v>
      </c>
      <c r="B43" s="39">
        <f>_xlfn.XLOOKUP(Log_Atkinson14520[[#This Row],[Machine ]], PriceTable[Machine], PriceTable[$/Unit], "")</f>
        <v>0</v>
      </c>
      <c r="C43" s="25"/>
      <c r="D43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9">
        <f>_xlfn.XLOOKUP(Log_Atkinson14520[[#This Row],[Machine ]], PriceTable[Machine], PriceTable[$/Unit], "")</f>
        <v>0</v>
      </c>
      <c r="C44" s="25"/>
      <c r="D44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4" s="23"/>
      <c r="F44" s="24"/>
      <c r="G44" s="25"/>
      <c r="H44" s="26"/>
      <c r="I44" s="24"/>
      <c r="J44" s="24"/>
      <c r="K44" s="24"/>
    </row>
    <row r="45" spans="1:11" ht="15.75">
      <c r="A45" s="36" t="s">
        <v>12</v>
      </c>
      <c r="B45" s="39">
        <f>_xlfn.XLOOKUP(Log_Atkinson14520[[#This Row],[Machine ]], PriceTable[Machine], PriceTable[$/Unit], "")</f>
        <v>0</v>
      </c>
      <c r="C45" s="25"/>
      <c r="D45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9">
        <f>_xlfn.XLOOKUP(Log_Atkinson14520[[#This Row],[Machine ]], PriceTable[Machine], PriceTable[$/Unit], "")</f>
        <v>0</v>
      </c>
      <c r="C46" s="25"/>
      <c r="D46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6" s="23"/>
      <c r="F46" s="24"/>
      <c r="G46" s="25"/>
      <c r="H46" s="26"/>
      <c r="I46" s="24"/>
      <c r="J46" s="24"/>
      <c r="K46" s="24"/>
    </row>
    <row r="47" spans="1:11" ht="15.75">
      <c r="A47" s="36" t="s">
        <v>12</v>
      </c>
      <c r="B47" s="39">
        <f>_xlfn.XLOOKUP(Log_Atkinson14520[[#This Row],[Machine ]], PriceTable[Machine], PriceTable[$/Unit], "")</f>
        <v>0</v>
      </c>
      <c r="C47" s="25"/>
      <c r="D47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9">
        <f>_xlfn.XLOOKUP(Log_Atkinson14520[[#This Row],[Machine ]], PriceTable[Machine], PriceTable[$/Unit], "")</f>
        <v>0</v>
      </c>
      <c r="C48" s="25"/>
      <c r="D48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8" s="23"/>
      <c r="F48" s="24"/>
      <c r="G48" s="25"/>
      <c r="H48" s="26"/>
      <c r="I48" s="24"/>
      <c r="J48" s="24"/>
      <c r="K48" s="24"/>
    </row>
    <row r="49" spans="1:11" ht="15.75">
      <c r="A49" s="36" t="s">
        <v>12</v>
      </c>
      <c r="B49" s="39">
        <f>_xlfn.XLOOKUP(Log_Atkinson14520[[#This Row],[Machine ]], PriceTable[Machine], PriceTable[$/Unit], "")</f>
        <v>0</v>
      </c>
      <c r="C49" s="25"/>
      <c r="D49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_xlfn.XLOOKUP(Log_Atkinson14520[[#This Row],[Machine ]], PriceTable[Machine], PriceTable[$/Unit], "")</f>
        <v>0</v>
      </c>
      <c r="C50" s="25"/>
      <c r="D50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>
      <c r="A51" s="36" t="s">
        <v>12</v>
      </c>
      <c r="B51" s="39">
        <f>_xlfn.XLOOKUP(Log_Atkinson14520[[#This Row],[Machine ]], PriceTable[Machine], PriceTable[$/Unit], "")</f>
        <v>0</v>
      </c>
      <c r="C51" s="25"/>
      <c r="D51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1" s="23"/>
      <c r="F51" s="24"/>
      <c r="G51" s="25"/>
      <c r="H51" s="26"/>
      <c r="I51" s="24"/>
      <c r="J51" s="24"/>
      <c r="K51" s="24"/>
    </row>
    <row r="52" spans="1:11" ht="15.75">
      <c r="A52" s="36" t="s">
        <v>12</v>
      </c>
      <c r="B52" s="39">
        <f>_xlfn.XLOOKUP(Log_Atkinson14520[[#This Row],[Machine ]], PriceTable[Machine], PriceTable[$/Unit], "")</f>
        <v>0</v>
      </c>
      <c r="C52" s="25"/>
      <c r="D52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2" s="23"/>
      <c r="F52" s="24"/>
      <c r="G52" s="25"/>
      <c r="H52" s="26"/>
      <c r="I52" s="24"/>
      <c r="J52" s="24"/>
      <c r="K52" s="24"/>
    </row>
    <row r="53" spans="1:11" ht="15.75">
      <c r="A53" s="36" t="s">
        <v>12</v>
      </c>
      <c r="B53" s="39">
        <f>_xlfn.XLOOKUP(Log_Atkinson14520[[#This Row],[Machine ]], PriceTable[Machine], PriceTable[$/Unit], "")</f>
        <v>0</v>
      </c>
      <c r="C53" s="25"/>
      <c r="D53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3" s="23"/>
      <c r="F53" s="24"/>
      <c r="G53" s="25"/>
      <c r="H53" s="26"/>
      <c r="I53" s="24"/>
      <c r="J53" s="24"/>
      <c r="K53" s="24"/>
    </row>
    <row r="54" spans="1:11" ht="15.75">
      <c r="A54" s="36" t="s">
        <v>12</v>
      </c>
      <c r="B54" s="39">
        <f>_xlfn.XLOOKUP(Log_Atkinson14520[[#This Row],[Machine ]], PriceTable[Machine], PriceTable[$/Unit], "")</f>
        <v>0</v>
      </c>
      <c r="C54" s="25"/>
      <c r="D54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4" s="23"/>
      <c r="F54" s="24"/>
      <c r="G54" s="25"/>
      <c r="H54" s="26"/>
      <c r="I54" s="24"/>
      <c r="J54" s="24"/>
      <c r="K54" s="24"/>
    </row>
    <row r="55" spans="1:11" ht="15.75">
      <c r="A55" s="36" t="s">
        <v>12</v>
      </c>
      <c r="B55" s="39">
        <f>_xlfn.XLOOKUP(Log_Atkinson14520[[#This Row],[Machine ]], PriceTable[Machine], PriceTable[$/Unit], "")</f>
        <v>0</v>
      </c>
      <c r="C55" s="25"/>
      <c r="D55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5" s="23"/>
      <c r="F55" s="24"/>
      <c r="G55" s="25"/>
      <c r="H55" s="26"/>
      <c r="I55" s="24"/>
      <c r="J55" s="24"/>
      <c r="K55" s="24"/>
    </row>
    <row r="56" spans="1:11" ht="15.75">
      <c r="A56" s="36" t="s">
        <v>12</v>
      </c>
      <c r="B56" s="39">
        <f>_xlfn.XLOOKUP(Log_Atkinson14520[[#This Row],[Machine ]], PriceTable[Machine], PriceTable[$/Unit], "")</f>
        <v>0</v>
      </c>
      <c r="C56" s="25"/>
      <c r="D56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6" s="23"/>
      <c r="F56" s="24"/>
      <c r="G56" s="25"/>
      <c r="H56" s="26"/>
      <c r="I56" s="24"/>
      <c r="J56" s="24"/>
      <c r="K56" s="24"/>
    </row>
    <row r="57" spans="1:11" ht="15.75">
      <c r="A57" s="36" t="s">
        <v>12</v>
      </c>
      <c r="B57" s="39">
        <f>_xlfn.XLOOKUP(Log_Atkinson14520[[#This Row],[Machine ]], PriceTable[Machine], PriceTable[$/Unit], "")</f>
        <v>0</v>
      </c>
      <c r="C57" s="25"/>
      <c r="D57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7" s="23"/>
      <c r="F57" s="24"/>
      <c r="G57" s="25"/>
      <c r="H57" s="26"/>
      <c r="I57" s="24"/>
      <c r="J57" s="24"/>
      <c r="K57" s="24"/>
    </row>
    <row r="58" spans="1:11" ht="15.75">
      <c r="A58" s="36" t="s">
        <v>12</v>
      </c>
      <c r="B58" s="39">
        <f>_xlfn.XLOOKUP(Log_Atkinson14520[[#This Row],[Machine ]], PriceTable[Machine], PriceTable[$/Unit], "")</f>
        <v>0</v>
      </c>
      <c r="C58" s="25"/>
      <c r="D58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8" s="23"/>
      <c r="F58" s="24"/>
      <c r="G58" s="25"/>
      <c r="H58" s="26"/>
      <c r="I58" s="24"/>
      <c r="J58" s="24"/>
      <c r="K58" s="24"/>
    </row>
    <row r="59" spans="1:11" ht="15.75">
      <c r="A59" s="36" t="s">
        <v>12</v>
      </c>
      <c r="B59" s="39">
        <f>_xlfn.XLOOKUP(Log_Atkinson14520[[#This Row],[Machine ]], PriceTable[Machine], PriceTable[$/Unit], "")</f>
        <v>0</v>
      </c>
      <c r="C59" s="25"/>
      <c r="D59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59" s="23"/>
      <c r="F59" s="24"/>
      <c r="G59" s="25"/>
      <c r="H59" s="26"/>
      <c r="I59" s="24"/>
      <c r="J59" s="24"/>
      <c r="K59" s="24"/>
    </row>
    <row r="60" spans="1:11" ht="15.75">
      <c r="A60" s="36" t="s">
        <v>12</v>
      </c>
      <c r="B60" s="37">
        <f>_xlfn.XLOOKUP(Log_Atkinson14520[[#This Row],[Machine ]], PriceTable[Machine], PriceTable[$/Unit], "")</f>
        <v>0</v>
      </c>
      <c r="C60" s="29"/>
      <c r="D60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60" s="27"/>
      <c r="F60" s="24"/>
      <c r="G60" s="29"/>
      <c r="H60" s="30"/>
      <c r="I60" s="28"/>
      <c r="J60" s="24"/>
      <c r="K60" s="28"/>
    </row>
    <row r="61" spans="1:11" ht="15.75">
      <c r="A61" s="36" t="s">
        <v>12</v>
      </c>
      <c r="B61" s="39">
        <f>_xlfn.XLOOKUP(Log_Atkinson14520[[#This Row],[Machine ]], PriceTable[Machine], PriceTable[$/Unit], "")</f>
        <v>0</v>
      </c>
      <c r="C61" s="25"/>
      <c r="D61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61" s="23"/>
      <c r="F61" s="24"/>
      <c r="G61" s="25"/>
      <c r="H61" s="26"/>
      <c r="I61" s="24"/>
      <c r="J61" s="24"/>
      <c r="K61" s="24"/>
    </row>
    <row r="62" spans="1:11" ht="15.75">
      <c r="A62" s="36" t="s">
        <v>12</v>
      </c>
      <c r="B62" s="37">
        <f>_xlfn.XLOOKUP(Log_Atkinson14520[[#This Row],[Machine ]], PriceTable[Machine], PriceTable[$/Unit], "")</f>
        <v>0</v>
      </c>
      <c r="C62" s="29"/>
      <c r="D62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62" s="27"/>
      <c r="F62" s="24"/>
      <c r="G62" s="29"/>
      <c r="H62" s="30"/>
      <c r="I62" s="28"/>
      <c r="J62" s="24"/>
      <c r="K62" s="28"/>
    </row>
    <row r="63" spans="1:11" ht="15.75">
      <c r="A63" s="36" t="s">
        <v>12</v>
      </c>
      <c r="B63" s="39">
        <f>_xlfn.XLOOKUP(Log_Atkinson14520[[#This Row],[Machine ]], PriceTable[Machine], PriceTable[$/Unit], "")</f>
        <v>0</v>
      </c>
      <c r="C63" s="25"/>
      <c r="D63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63" s="23"/>
      <c r="F63" s="24"/>
      <c r="G63" s="25"/>
      <c r="H63" s="26"/>
      <c r="I63" s="24"/>
      <c r="J63" s="24"/>
      <c r="K63" s="24"/>
    </row>
    <row r="64" spans="1:11" ht="15.75">
      <c r="A64" s="36" t="s">
        <v>12</v>
      </c>
      <c r="B64" s="39">
        <f>_xlfn.XLOOKUP(Log_Atkinson14520[[#This Row],[Machine ]], PriceTable[Machine], PriceTable[$/Unit], "")</f>
        <v>0</v>
      </c>
      <c r="C64" s="25"/>
      <c r="D64" s="38" t="str">
        <f>IF(OR(Log_Atkinson14520[[#This Row],[Machine ]]="", Log_Atkinson14520[[#This Row],[Unit Amount]]=""), "", IFERROR(MAX(Log_Atkinson14520[[#This Row],[Unit Amount]] * Log_Atkinson14520[[#This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 customHeight="1">
      <c r="A65" s="36" t="s">
        <v>13</v>
      </c>
      <c r="B65" s="40"/>
      <c r="C65" s="25"/>
      <c r="D65" s="41"/>
      <c r="E65" s="23"/>
      <c r="F65" s="24"/>
      <c r="G65" s="25"/>
      <c r="H65" s="25"/>
      <c r="I65" s="24"/>
      <c r="J65" s="24"/>
      <c r="K65" s="56">
        <f>SUBTOTAL(109,Log_Atkinson14520[Cost])</f>
        <v>604.4000000000002</v>
      </c>
    </row>
    <row r="66" spans="1:11" ht="15.75">
      <c r="A66" s="42"/>
      <c r="B66" s="43"/>
      <c r="C66" s="44"/>
      <c r="D66" s="45"/>
      <c r="E66" s="46"/>
      <c r="F66" s="47"/>
      <c r="G66" s="44"/>
      <c r="H66" s="44"/>
      <c r="I66" s="47"/>
      <c r="J66" s="47"/>
      <c r="K66" s="47"/>
    </row>
    <row r="67" spans="1:11" ht="15.75">
      <c r="C67" s="48"/>
      <c r="E67" s="49"/>
      <c r="G67" s="49"/>
      <c r="H67" s="50"/>
    </row>
    <row r="68" spans="1:11" ht="15.75">
      <c r="C68" s="51"/>
    </row>
    <row r="69" spans="1:11" ht="15.75" customHeight="1"/>
    <row r="70" spans="1:11" ht="15.75"/>
    <row r="71" spans="1:11" ht="11.25" customHeight="1"/>
    <row r="72" spans="1:11" ht="24">
      <c r="A72" s="64" t="s">
        <v>14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.75">
      <c r="A73" s="52" t="s">
        <v>1</v>
      </c>
      <c r="B73" s="53" t="s">
        <v>2</v>
      </c>
      <c r="C73" s="53" t="s">
        <v>3</v>
      </c>
      <c r="D73" s="54" t="s">
        <v>4</v>
      </c>
      <c r="E73" s="55" t="s">
        <v>5</v>
      </c>
      <c r="F73" s="52" t="s">
        <v>6</v>
      </c>
      <c r="G73" s="55" t="s">
        <v>7</v>
      </c>
      <c r="H73" s="52" t="s">
        <v>15</v>
      </c>
      <c r="I73" s="52" t="s">
        <v>9</v>
      </c>
      <c r="J73" s="52" t="s">
        <v>10</v>
      </c>
      <c r="K73" s="52" t="s">
        <v>11</v>
      </c>
    </row>
    <row r="74" spans="1:11" ht="15.75">
      <c r="A74" s="36" t="s">
        <v>87</v>
      </c>
      <c r="B74" s="39">
        <f>_xlfn.XLOOKUP(Log_Art12321[[#This Row],[Machine ]], PriceTable[Machine], PriceTable[$/Unit], "")</f>
        <v>20</v>
      </c>
      <c r="C74" s="25">
        <v>3</v>
      </c>
      <c r="D74" s="38">
        <f>IF(OR(Log_Art12321[[#This Row],[Machine ]]="", Log_Art12321[[#This Row],[Unit Amount]]=""), "", IFERROR(MAX(Log_Art12321[[#This Row],[Unit Amount]] * Log_Art12321[[#This Row],[$/Unit]], 3), ""))</f>
        <v>60</v>
      </c>
      <c r="E74" s="23" t="s">
        <v>82</v>
      </c>
      <c r="F74" s="24"/>
      <c r="G74" s="25" t="s">
        <v>36</v>
      </c>
      <c r="H74" s="26">
        <v>45968</v>
      </c>
      <c r="I74" s="24">
        <v>17</v>
      </c>
      <c r="J74" s="24" t="s">
        <v>35</v>
      </c>
      <c r="K74" s="24" t="s">
        <v>20</v>
      </c>
    </row>
    <row r="75" spans="1:11" ht="15.75">
      <c r="A75" s="36" t="s">
        <v>87</v>
      </c>
      <c r="B75" s="39">
        <f>_xlfn.XLOOKUP(Log_Art12321[[#This Row],[Machine ]], PriceTable[Machine], PriceTable[$/Unit], "")</f>
        <v>20</v>
      </c>
      <c r="C75" s="29">
        <v>0.75</v>
      </c>
      <c r="D75" s="38">
        <f>IF(OR(Log_Art12321[[#This Row],[Machine ]]="", Log_Art12321[[#This Row],[Unit Amount]]=""), "", IFERROR(MAX(Log_Art12321[[#This Row],[Unit Amount]] * Log_Art12321[[#This Row],[$/Unit]], 3), ""))</f>
        <v>15</v>
      </c>
      <c r="E75" s="27" t="s">
        <v>24</v>
      </c>
      <c r="F75" s="28"/>
      <c r="G75" s="29" t="s">
        <v>106</v>
      </c>
      <c r="H75" s="30">
        <v>45980</v>
      </c>
      <c r="I75" s="28">
        <v>18</v>
      </c>
      <c r="J75" s="24" t="s">
        <v>35</v>
      </c>
      <c r="K75" s="28" t="s">
        <v>20</v>
      </c>
    </row>
    <row r="76" spans="1:11" ht="15.75">
      <c r="A76" s="36" t="s">
        <v>87</v>
      </c>
      <c r="B76" s="39">
        <f>_xlfn.XLOOKUP(Log_Art12321[[#This Row],[Machine ]], PriceTable[Machine], PriceTable[$/Unit], "")</f>
        <v>20</v>
      </c>
      <c r="C76" s="25">
        <v>4</v>
      </c>
      <c r="D76" s="38">
        <f>IF(OR(Log_Art12321[[#This Row],[Machine ]]="", Log_Art12321[[#This Row],[Unit Amount]]=""), "", IFERROR(MAX(Log_Art12321[[#This Row],[Unit Amount]] * Log_Art12321[[#This Row],[$/Unit]], 3), ""))</f>
        <v>80</v>
      </c>
      <c r="E76" s="23" t="s">
        <v>33</v>
      </c>
      <c r="F76" s="24"/>
      <c r="G76" s="25" t="s">
        <v>36</v>
      </c>
      <c r="H76" s="26">
        <v>45981</v>
      </c>
      <c r="I76" s="24">
        <v>19</v>
      </c>
      <c r="J76" s="24" t="s">
        <v>35</v>
      </c>
      <c r="K76" s="28" t="s">
        <v>20</v>
      </c>
    </row>
    <row r="77" spans="1:11" ht="15.75">
      <c r="A77" s="36" t="s">
        <v>12</v>
      </c>
      <c r="B77" s="39">
        <f>_xlfn.XLOOKUP(Log_Art12321[[#This Row],[Machine ]], PriceTable[Machine], PriceTable[$/Unit], "")</f>
        <v>0</v>
      </c>
      <c r="C77" s="29"/>
      <c r="D77" s="38" t="str">
        <f>IF(OR(Log_Art12321[[#This Row],[Machine ]]="", Log_Art12321[[#This Row],[Unit Amount]]=""), "", IFERROR(MAX(Log_Art12321[[#This Row],[Unit Amount]] * Log_Art12321[[#This Row],[$/Unit]], 3), ""))</f>
        <v/>
      </c>
      <c r="E77" s="27"/>
      <c r="F77" s="28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_xlfn.XLOOKUP(Log_Art12321[[#This Row],[Machine ]], PriceTable[Machine], PriceTable[$/Unit], "")</f>
        <v>0</v>
      </c>
      <c r="C78" s="25"/>
      <c r="D78" s="38" t="str">
        <f>IF(OR(Log_Art12321[[#This Row],[Machine ]]="", Log_Art12321[[#This Row],[Unit Amount]]=""), "", IFERROR(MAX(Log_Art12321[[#This Row],[Unit Amount]] * Log_Art12321[[#This Row],[$/Unit]], 3), ""))</f>
        <v/>
      </c>
      <c r="E78" s="23"/>
      <c r="F78" s="24"/>
      <c r="G78" s="25"/>
      <c r="H78" s="26"/>
      <c r="I78" s="24"/>
      <c r="J78" s="24"/>
      <c r="K78" s="28"/>
    </row>
    <row r="79" spans="1:11" ht="15.75">
      <c r="A79" s="36" t="s">
        <v>12</v>
      </c>
      <c r="B79" s="39">
        <f>_xlfn.XLOOKUP(Log_Art12321[[#This Row],[Machine ]], PriceTable[Machine], PriceTable[$/Unit], "")</f>
        <v>0</v>
      </c>
      <c r="C79" s="29"/>
      <c r="D79" s="38" t="str">
        <f>IF(OR(Log_Art12321[[#This Row],[Machine ]]="", Log_Art12321[[#This Row],[Unit Amount]]=""), "", IFERROR(MAX(Log_Art12321[[#This Row],[Unit Amount]] * Log_Art12321[[#This Row],[$/Unit]], 3), ""))</f>
        <v/>
      </c>
      <c r="E79" s="27"/>
      <c r="F79" s="28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_xlfn.XLOOKUP(Log_Art12321[[#This Row],[Machine ]], PriceTable[Machine], PriceTable[$/Unit], "")</f>
        <v>0</v>
      </c>
      <c r="C80" s="25"/>
      <c r="D80" s="38" t="str">
        <f>IF(OR(Log_Art12321[[#This Row],[Machine ]]="", Log_Art12321[[#This Row],[Unit Amount]]=""), "", IFERROR(MAX(Log_Art12321[[#This Row],[Unit Amount]] * Log_Art12321[[#This Row],[$/Unit]], 3), ""))</f>
        <v/>
      </c>
      <c r="E80" s="23"/>
      <c r="F80" s="24"/>
      <c r="G80" s="25"/>
      <c r="H80" s="26"/>
      <c r="I80" s="24"/>
      <c r="J80" s="24"/>
      <c r="K80" s="28"/>
    </row>
    <row r="81" spans="1:11" ht="15.75">
      <c r="A81" s="36" t="s">
        <v>12</v>
      </c>
      <c r="B81" s="39">
        <f>_xlfn.XLOOKUP(Log_Art12321[[#This Row],[Machine ]], PriceTable[Machine], PriceTable[$/Unit], "")</f>
        <v>0</v>
      </c>
      <c r="C81" s="29"/>
      <c r="D81" s="38" t="str">
        <f>IF(OR(Log_Art12321[[#This Row],[Machine ]]="", Log_Art12321[[#This Row],[Unit Amount]]=""), "", IFERROR(MAX(Log_Art12321[[#This Row],[Unit Amount]] * Log_Art12321[[#This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_xlfn.XLOOKUP(Log_Art12321[[#This Row],[Machine ]], PriceTable[Machine], PriceTable[$/Unit], "")</f>
        <v>0</v>
      </c>
      <c r="C82" s="25"/>
      <c r="D82" s="38" t="str">
        <f>IF(OR(Log_Art12321[[#This Row],[Machine ]]="", Log_Art12321[[#This Row],[Unit Amount]]=""), "", IFERROR(MAX(Log_Art12321[[#This Row],[Unit Amount]] * Log_Art12321[[#This Row],[$/Unit]], 3), ""))</f>
        <v/>
      </c>
      <c r="E82" s="23"/>
      <c r="F82" s="24"/>
      <c r="G82" s="25"/>
      <c r="H82" s="26"/>
      <c r="I82" s="24"/>
      <c r="J82" s="24"/>
      <c r="K82" s="28"/>
    </row>
    <row r="83" spans="1:11" ht="15.75">
      <c r="A83" s="36" t="s">
        <v>12</v>
      </c>
      <c r="B83" s="39">
        <f>_xlfn.XLOOKUP(Log_Art12321[[#This Row],[Machine ]], PriceTable[Machine], PriceTable[$/Unit], "")</f>
        <v>0</v>
      </c>
      <c r="C83" s="29"/>
      <c r="D83" s="38" t="str">
        <f>IF(OR(Log_Art12321[[#This Row],[Machine ]]="", Log_Art12321[[#This Row],[Unit Amount]]=""), "", IFERROR(MAX(Log_Art12321[[#This Row],[Unit Amount]] * Log_Art12321[[#This Row],[$/Unit]], 3), ""))</f>
        <v/>
      </c>
      <c r="E83" s="27"/>
      <c r="F83" s="28"/>
      <c r="G83" s="29"/>
      <c r="H83" s="30"/>
      <c r="I83" s="28"/>
      <c r="J83" s="24"/>
      <c r="K83" s="28"/>
    </row>
    <row r="84" spans="1:11" ht="15.75">
      <c r="A84" s="36" t="s">
        <v>12</v>
      </c>
      <c r="B84" s="39">
        <f>_xlfn.XLOOKUP(Log_Art12321[[#This Row],[Machine ]], PriceTable[Machine], PriceTable[$/Unit], "")</f>
        <v>0</v>
      </c>
      <c r="C84" s="25"/>
      <c r="D84" s="38" t="str">
        <f>IF(OR(Log_Art12321[[#This Row],[Machine ]]="", Log_Art12321[[#This Row],[Unit Amount]]=""), "", IFERROR(MAX(Log_Art12321[[#This Row],[Unit Amount]] * Log_Art12321[[#This Row],[$/Unit]], 3), ""))</f>
        <v/>
      </c>
      <c r="E84" s="23"/>
      <c r="F84" s="24"/>
      <c r="G84" s="25"/>
      <c r="H84" s="26"/>
      <c r="I84" s="24"/>
      <c r="J84" s="24"/>
      <c r="K84" s="28"/>
    </row>
    <row r="85" spans="1:11" ht="15.75">
      <c r="A85" s="36" t="s">
        <v>12</v>
      </c>
      <c r="B85" s="39">
        <f>_xlfn.XLOOKUP(Log_Art12321[[#This Row],[Machine ]], PriceTable[Machine], PriceTable[$/Unit], "")</f>
        <v>0</v>
      </c>
      <c r="C85" s="29"/>
      <c r="D85" s="38" t="str">
        <f>IF(OR(Log_Art12321[[#This Row],[Machine ]]="", Log_Art12321[[#This Row],[Unit Amount]]=""), "", IFERROR(MAX(Log_Art12321[[#This Row],[Unit Amount]] * Log_Art12321[[#This Row],[$/Unit]], 3), ""))</f>
        <v/>
      </c>
      <c r="E85" s="27"/>
      <c r="F85" s="28"/>
      <c r="G85" s="29"/>
      <c r="H85" s="30"/>
      <c r="I85" s="28"/>
      <c r="J85" s="24"/>
      <c r="K85" s="28"/>
    </row>
    <row r="86" spans="1:11" ht="15.75">
      <c r="A86" s="36" t="s">
        <v>12</v>
      </c>
      <c r="B86" s="39">
        <f>_xlfn.XLOOKUP(Log_Art12321[[#This Row],[Machine ]], PriceTable[Machine], PriceTable[$/Unit], "")</f>
        <v>0</v>
      </c>
      <c r="C86" s="25"/>
      <c r="D86" s="38" t="str">
        <f>IF(OR(Log_Art12321[[#This Row],[Machine ]]="", Log_Art12321[[#This Row],[Unit Amount]]=""), "", IFERROR(MAX(Log_Art12321[[#This Row],[Unit Amount]] * Log_Art12321[[#This Row],[$/Unit]], 3), ""))</f>
        <v/>
      </c>
      <c r="E86" s="23"/>
      <c r="F86" s="24"/>
      <c r="G86" s="25"/>
      <c r="H86" s="26"/>
      <c r="I86" s="24"/>
      <c r="J86" s="24"/>
      <c r="K86" s="28"/>
    </row>
    <row r="87" spans="1:11" ht="15.75">
      <c r="A87" s="36" t="s">
        <v>12</v>
      </c>
      <c r="B87" s="39">
        <f>_xlfn.XLOOKUP(Log_Art12321[[#This Row],[Machine ]], PriceTable[Machine], PriceTable[$/Unit], "")</f>
        <v>0</v>
      </c>
      <c r="C87" s="29"/>
      <c r="D87" s="38" t="str">
        <f>IF(OR(Log_Art12321[[#This Row],[Machine ]]="", Log_Art12321[[#This Row],[Unit Amount]]=""), "", IFERROR(MAX(Log_Art12321[[#This Row],[Unit Amount]] * Log_Art12321[[#This Row],[$/Unit]], 3), ""))</f>
        <v/>
      </c>
      <c r="E87" s="27"/>
      <c r="F87" s="28"/>
      <c r="G87" s="29"/>
      <c r="H87" s="30"/>
      <c r="I87" s="28"/>
      <c r="J87" s="24"/>
      <c r="K87" s="28"/>
    </row>
    <row r="88" spans="1:11" ht="15.75">
      <c r="A88" s="36" t="s">
        <v>12</v>
      </c>
      <c r="B88" s="39">
        <f>_xlfn.XLOOKUP(Log_Art12321[[#This Row],[Machine ]], PriceTable[Machine], PriceTable[$/Unit], "")</f>
        <v>0</v>
      </c>
      <c r="C88" s="25"/>
      <c r="D88" s="38" t="str">
        <f>IF(OR(Log_Art12321[[#This Row],[Machine ]]="", Log_Art12321[[#This Row],[Unit Amount]]=""), "", IFERROR(MAX(Log_Art12321[[#This Row],[Unit Amount]] * Log_Art12321[[#This Row],[$/Unit]], 3), ""))</f>
        <v/>
      </c>
      <c r="E88" s="23"/>
      <c r="F88" s="24"/>
      <c r="G88" s="25"/>
      <c r="H88" s="26"/>
      <c r="I88" s="24"/>
      <c r="J88" s="24"/>
      <c r="K88" s="28"/>
    </row>
    <row r="89" spans="1:11" ht="15.75">
      <c r="A89" s="36" t="s">
        <v>12</v>
      </c>
      <c r="B89" s="39">
        <f>_xlfn.XLOOKUP(Log_Art12321[[#This Row],[Machine ]], PriceTable[Machine], PriceTable[$/Unit], "")</f>
        <v>0</v>
      </c>
      <c r="C89" s="29"/>
      <c r="D89" s="38" t="str">
        <f>IF(OR(Log_Art12321[[#This Row],[Machine ]]="", Log_Art12321[[#This Row],[Unit Amount]]=""), "", IFERROR(MAX(Log_Art12321[[#This Row],[Unit Amount]] * Log_Art12321[[#This Row],[$/Unit]], 3), ""))</f>
        <v/>
      </c>
      <c r="E89" s="27"/>
      <c r="F89" s="28"/>
      <c r="G89" s="29"/>
      <c r="H89" s="30"/>
      <c r="I89" s="28"/>
      <c r="J89" s="24"/>
      <c r="K89" s="28"/>
    </row>
    <row r="90" spans="1:11" ht="15.75">
      <c r="A90" s="36" t="s">
        <v>12</v>
      </c>
      <c r="B90" s="39">
        <f>_xlfn.XLOOKUP(Log_Art12321[[#This Row],[Machine ]], PriceTable[Machine], PriceTable[$/Unit], "")</f>
        <v>0</v>
      </c>
      <c r="C90" s="25"/>
      <c r="D90" s="38" t="str">
        <f>IF(OR(Log_Art12321[[#This Row],[Machine ]]="", Log_Art12321[[#This Row],[Unit Amount]]=""), "", IFERROR(MAX(Log_Art12321[[#This Row],[Unit Amount]] * Log_Art12321[[#This Row],[$/Unit]], 3), ""))</f>
        <v/>
      </c>
      <c r="E90" s="23"/>
      <c r="F90" s="24"/>
      <c r="G90" s="25"/>
      <c r="H90" s="26"/>
      <c r="I90" s="24"/>
      <c r="J90" s="24"/>
      <c r="K90" s="28"/>
    </row>
    <row r="91" spans="1:11" ht="15.75">
      <c r="A91" s="36" t="s">
        <v>12</v>
      </c>
      <c r="B91" s="39">
        <f>_xlfn.XLOOKUP(Log_Art12321[[#This Row],[Machine ]], PriceTable[Machine], PriceTable[$/Unit], "")</f>
        <v>0</v>
      </c>
      <c r="C91" s="29"/>
      <c r="D91" s="38" t="str">
        <f>IF(OR(Log_Art12321[[#This Row],[Machine ]]="", Log_Art12321[[#This Row],[Unit Amount]]=""), "", IFERROR(MAX(Log_Art12321[[#This Row],[Unit Amount]] * Log_Art12321[[#This Row],[$/Unit]], 3), ""))</f>
        <v/>
      </c>
      <c r="E91" s="27"/>
      <c r="F91" s="28"/>
      <c r="G91" s="29"/>
      <c r="H91" s="30"/>
      <c r="I91" s="28"/>
      <c r="J91" s="24"/>
      <c r="K91" s="28"/>
    </row>
    <row r="92" spans="1:11" ht="15.75">
      <c r="A92" s="36" t="s">
        <v>12</v>
      </c>
      <c r="B92" s="39">
        <f>_xlfn.XLOOKUP(Log_Art12321[[#This Row],[Machine ]], PriceTable[Machine], PriceTable[$/Unit], "")</f>
        <v>0</v>
      </c>
      <c r="C92" s="25"/>
      <c r="D92" s="38" t="str">
        <f>IF(OR(Log_Art12321[[#This Row],[Machine ]]="", Log_Art12321[[#This Row],[Unit Amount]]=""), "", IFERROR(MAX(Log_Art12321[[#This Row],[Unit Amount]] * Log_Art12321[[#This Row],[$/Unit]], 3), ""))</f>
        <v/>
      </c>
      <c r="E92" s="23"/>
      <c r="F92" s="24"/>
      <c r="G92" s="25"/>
      <c r="H92" s="26"/>
      <c r="I92" s="24"/>
      <c r="J92" s="24"/>
      <c r="K92" s="28"/>
    </row>
    <row r="93" spans="1:11" ht="15.75">
      <c r="A93" s="36" t="s">
        <v>12</v>
      </c>
      <c r="B93" s="39">
        <f>_xlfn.XLOOKUP(Log_Art12321[[#This Row],[Machine ]], PriceTable[Machine], PriceTable[$/Unit], "")</f>
        <v>0</v>
      </c>
      <c r="C93" s="29"/>
      <c r="D93" s="38" t="str">
        <f>IF(OR(Log_Art12321[[#This Row],[Machine ]]="", Log_Art12321[[#This Row],[Unit Amount]]=""), "", IFERROR(MAX(Log_Art12321[[#This Row],[Unit Amount]] * Log_Art12321[[#This Row],[$/Unit]], 3), ""))</f>
        <v/>
      </c>
      <c r="E93" s="27"/>
      <c r="F93" s="28"/>
      <c r="G93" s="29"/>
      <c r="H93" s="30"/>
      <c r="I93" s="28"/>
      <c r="J93" s="24"/>
      <c r="K93" s="28"/>
    </row>
    <row r="94" spans="1:11" ht="15.75">
      <c r="A94" s="36" t="s">
        <v>12</v>
      </c>
      <c r="B94" s="39">
        <f>_xlfn.XLOOKUP(Log_Art12321[[#This Row],[Machine ]], PriceTable[Machine], PriceTable[$/Unit], "")</f>
        <v>0</v>
      </c>
      <c r="C94" s="25"/>
      <c r="D94" s="38" t="str">
        <f>IF(OR(Log_Art12321[[#This Row],[Machine ]]="", Log_Art12321[[#This Row],[Unit Amount]]=""), "", IFERROR(MAX(Log_Art12321[[#This Row],[Unit Amount]] * Log_Art12321[[#This Row],[$/Unit]], 3), ""))</f>
        <v/>
      </c>
      <c r="E94" s="23"/>
      <c r="F94" s="24"/>
      <c r="G94" s="25"/>
      <c r="H94" s="26"/>
      <c r="I94" s="24"/>
      <c r="J94" s="24"/>
      <c r="K94" s="28"/>
    </row>
    <row r="95" spans="1:11" ht="15.75">
      <c r="A95" s="36" t="s">
        <v>12</v>
      </c>
      <c r="B95" s="39">
        <f>_xlfn.XLOOKUP(Log_Art12321[[#This Row],[Machine ]], PriceTable[Machine], PriceTable[$/Unit], "")</f>
        <v>0</v>
      </c>
      <c r="C95" s="29"/>
      <c r="D95" s="38" t="str">
        <f>IF(OR(Log_Art12321[[#This Row],[Machine ]]="", Log_Art12321[[#This Row],[Unit Amount]]=""), "", IFERROR(MAX(Log_Art12321[[#This Row],[Unit Amount]] * Log_Art12321[[#This Row],[$/Unit]], 3), ""))</f>
        <v/>
      </c>
      <c r="E95" s="27"/>
      <c r="F95" s="28"/>
      <c r="G95" s="29"/>
      <c r="H95" s="30"/>
      <c r="I95" s="28"/>
      <c r="J95" s="24"/>
      <c r="K95" s="28"/>
    </row>
    <row r="96" spans="1:11" ht="15.75">
      <c r="A96" s="36" t="s">
        <v>12</v>
      </c>
      <c r="B96" s="39">
        <f>_xlfn.XLOOKUP(Log_Art12321[[#This Row],[Machine ]], PriceTable[Machine], PriceTable[$/Unit], "")</f>
        <v>0</v>
      </c>
      <c r="C96" s="25"/>
      <c r="D96" s="38" t="str">
        <f>IF(OR(Log_Art12321[[#This Row],[Machine ]]="", Log_Art12321[[#This Row],[Unit Amount]]=""), "", IFERROR(MAX(Log_Art12321[[#This Row],[Unit Amount]] * Log_Art12321[[#This Row],[$/Unit]], 3), ""))</f>
        <v/>
      </c>
      <c r="E96" s="23"/>
      <c r="F96" s="24"/>
      <c r="G96" s="25"/>
      <c r="H96" s="26"/>
      <c r="I96" s="24"/>
      <c r="J96" s="24"/>
      <c r="K96" s="28"/>
    </row>
    <row r="97" spans="1:11" ht="15.75">
      <c r="A97" s="36" t="s">
        <v>13</v>
      </c>
      <c r="B97" s="40"/>
      <c r="C97" s="25"/>
      <c r="D97" s="41"/>
      <c r="E97" s="23"/>
      <c r="F97" s="24"/>
      <c r="G97" s="25"/>
      <c r="H97" s="25"/>
      <c r="I97" s="24"/>
      <c r="J97" s="24"/>
      <c r="K97" s="56">
        <f>SUBTOTAL(109,Log_Art12321[Cost])</f>
        <v>155</v>
      </c>
    </row>
  </sheetData>
  <sheetProtection sheet="1" objects="1" scenarios="1"/>
  <protectedRanges>
    <protectedRange sqref="H3:H5 C3:C5 I3:K36 H7:H36 A3:B36 C7:C36 D3:G36 A37:K64" name="Range1_48_48_48_48_48_1"/>
    <protectedRange sqref="B96:I96 C93:C95 B74:B95 E93:I95 D74:D95" name="Range1_48_48_48_48_48_1_71_3"/>
    <protectedRange sqref="C74:C92 E74:I92 J74:K96" name="Range1_48_48_48_48_48_1_1"/>
    <protectedRange sqref="A74:A96" name="Range2_23_23_23_23_23_23_23_23_23_23_23_23_20_19"/>
  </protectedRanges>
  <mergeCells count="2">
    <mergeCell ref="A1:K1"/>
    <mergeCell ref="A72:K72"/>
  </mergeCells>
  <conditionalFormatting sqref="A1 H3:K5 I6:K6 C3:C5 H74:K96 H7:K64 C7:C64">
    <cfRule type="containsText" dxfId="663" priority="12" operator="containsText" text="Select Machine">
      <formula>NOT(ISERROR(SEARCH("Select Machine",A1)))</formula>
    </cfRule>
  </conditionalFormatting>
  <conditionalFormatting sqref="A3:A64 E3:F64">
    <cfRule type="containsText" dxfId="662" priority="7" operator="containsText" text="Select Machine">
      <formula>NOT(ISERROR(SEARCH("Select Machine",A3)))</formula>
    </cfRule>
  </conditionalFormatting>
  <conditionalFormatting sqref="A3:A64 G3:G64">
    <cfRule type="cellIs" dxfId="661" priority="8" operator="equal">
      <formula>"Select Machine"</formula>
    </cfRule>
  </conditionalFormatting>
  <conditionalFormatting sqref="A74:A96">
    <cfRule type="containsText" dxfId="660" priority="4" operator="containsText" text="Select Machine">
      <formula>NOT(ISERROR(SEARCH("Select Machine",A74)))</formula>
    </cfRule>
    <cfRule type="cellIs" dxfId="659" priority="5" operator="equal">
      <formula>"Select Machine"</formula>
    </cfRule>
  </conditionalFormatting>
  <conditionalFormatting sqref="C74:C96 E74:F96">
    <cfRule type="containsText" dxfId="658" priority="1" operator="containsText" text="Select Machine">
      <formula>NOT(ISERROR(SEARCH("Select Machine",C74)))</formula>
    </cfRule>
  </conditionalFormatting>
  <conditionalFormatting sqref="G3:G64">
    <cfRule type="containsText" dxfId="657" priority="9" operator="containsText" text="Select Machine">
      <formula>NOT(ISERROR(SEARCH("Select Machine",G3)))</formula>
    </cfRule>
  </conditionalFormatting>
  <conditionalFormatting sqref="G74:G96">
    <cfRule type="cellIs" dxfId="656" priority="2" operator="equal">
      <formula>"Select Machine"</formula>
    </cfRule>
    <cfRule type="containsText" dxfId="655" priority="3" operator="containsText" text="Select Machine">
      <formula>NOT(ISERROR(SEARCH("Select Machine",G74)))</formula>
    </cfRule>
  </conditionalFormatting>
  <conditionalFormatting sqref="K98:K99 A99:J99 A100:K1048576">
    <cfRule type="containsText" dxfId="654" priority="10" operator="containsText" text="Select Machine">
      <formula>NOT(ISERROR(SEARCH("Select Machine",A98)))</formula>
    </cfRule>
  </conditionalFormatting>
  <conditionalFormatting sqref="L1:XFD1048576 A2:K2 A67:K71 A72 A73:K73">
    <cfRule type="containsText" dxfId="653" priority="11" operator="containsText" text="Select Machine">
      <formula>NOT(ISERROR(SEARCH("Select Machine",A1)))</formula>
    </cfRule>
  </conditionalFormatting>
  <conditionalFormatting sqref="L72:XFD72">
    <cfRule type="cellIs" dxfId="652" priority="13" operator="equal">
      <formula>"Select Machine"</formula>
    </cfRule>
  </conditionalFormatting>
  <dataValidations count="9">
    <dataValidation type="list" allowBlank="1" showInputMessage="1" showErrorMessage="1" sqref="J74:J96 J3:J64" xr:uid="{4C2E082D-97F0-4E8F-B6FE-8ED926012A41}">
      <formula1>Staff</formula1>
    </dataValidation>
    <dataValidation type="list" allowBlank="1" showInputMessage="1" showErrorMessage="1" sqref="A74:A96 A2:A64" xr:uid="{72F45266-984E-4721-AB3D-5120E6A9C730}">
      <formula1>MachineList</formula1>
    </dataValidation>
    <dataValidation allowBlank="1" showInputMessage="1" showErrorMessage="1" sqref="F99:F1048576 F1:F2 F67:F73" xr:uid="{0D2713EF-2C16-4F66-BCD1-110E27B1CE22}"/>
    <dataValidation type="list" allowBlank="1" showInputMessage="1" showErrorMessage="1" sqref="J67" xr:uid="{E7E0C1BE-B8AB-49B7-8F4C-3AF48554E4A7}">
      <formula1>"Conrad,Spencer,Kiran,Jack Wayne,Morgan"</formula1>
    </dataValidation>
    <dataValidation type="list" allowBlank="1" showInputMessage="1" showErrorMessage="1" sqref="A67 A99" xr:uid="{5A861780-B4E2-4145-AC42-CDD5EFE96AF8}">
      <formula1>"Prusa,Ultimaker S5,Ultimaker 2+,Raise3D Pro 2 Plus,Markforged Onyx,Form 2, Form 2 Specialty,Plasma,Forest CNC"</formula1>
    </dataValidation>
    <dataValidation type="list" allowBlank="1" showInputMessage="1" showErrorMessage="1" sqref="A73" xr:uid="{F70E197D-0FE4-4A47-BDA7-A866946D25D6}">
      <formula1>"Prusa,Raise3D Pro 2 Plus,Ultimaker S5,Ultimaker 2+,Markforged Onyx,Form 2,Form 2 Specialty"</formula1>
    </dataValidation>
    <dataValidation type="list" allowBlank="1" showInputMessage="1" showErrorMessage="1" sqref="K67 K74:K96 K3:K64" xr:uid="{CB610B11-ECE5-48A1-B99F-2E3BA63A58EF}">
      <formula1>"Open,Closed"</formula1>
    </dataValidation>
    <dataValidation type="whole" allowBlank="1" showInputMessage="1" showErrorMessage="1" sqref="I99 I74:I96 I67 I3:I64" xr:uid="{20C9D144-B5F6-436E-9B34-8D94518E2378}">
      <formula1>1</formula1>
      <formula2>99999999999</formula2>
    </dataValidation>
    <dataValidation type="custom" allowBlank="1" showInputMessage="1" showErrorMessage="1" sqref="F74:F96 F3:F64" xr:uid="{263FEDFE-A3FC-478D-88B0-204A0E3E8EC2}">
      <formula1>1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55E7-93EC-4D22-B0B4-88D0E0B57383}">
  <dimension ref="A1:K103"/>
  <sheetViews>
    <sheetView topLeftCell="G44" zoomScaleNormal="100" workbookViewId="0">
      <selection activeCell="G44" sqref="G44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41.7109375" style="9" bestFit="1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_xlfn.XLOOKUP(Log_Atkinson14522[[#This Row],[Machine ]], PriceTable[Machine], PriceTable[$/Unit], "")</f>
        <v>0.1</v>
      </c>
      <c r="C3" s="25">
        <v>76</v>
      </c>
      <c r="D3" s="38">
        <f>IF(OR(Log_Atkinson14522[[#This Row],[Machine ]]="", Log_Atkinson14522[[#This Row],[Unit Amount]]=""), "", IFERROR(MAX(Log_Atkinson14522[[#This Row],[Unit Amount]] * Log_Atkinson14522[[#This Row],[$/Unit]], 3), ""))</f>
        <v>7.6000000000000005</v>
      </c>
      <c r="E3" s="23" t="s">
        <v>111</v>
      </c>
      <c r="F3" s="24"/>
      <c r="G3" s="25" t="s">
        <v>112</v>
      </c>
      <c r="H3" s="26">
        <v>45992</v>
      </c>
      <c r="I3" s="24">
        <v>107</v>
      </c>
      <c r="J3" s="24" t="s">
        <v>80</v>
      </c>
      <c r="K3" s="24" t="s">
        <v>20</v>
      </c>
    </row>
    <row r="4" spans="1:11" ht="15.75">
      <c r="A4" s="36" t="s">
        <v>16</v>
      </c>
      <c r="B4" s="37">
        <f>_xlfn.XLOOKUP(Log_Atkinson14522[[#This Row],[Machine ]], PriceTable[Machine], PriceTable[$/Unit], "")</f>
        <v>0.1</v>
      </c>
      <c r="C4" s="29">
        <v>215</v>
      </c>
      <c r="D4" s="38">
        <f>IF(OR(Log_Atkinson14522[[#This Row],[Machine ]]="", Log_Atkinson14522[[#This Row],[Unit Amount]]=""), "", IFERROR(MAX(Log_Atkinson14522[[#This Row],[Unit Amount]] * Log_Atkinson14522[[#This Row],[$/Unit]], 3), ""))</f>
        <v>21.5</v>
      </c>
      <c r="E4" s="27" t="s">
        <v>113</v>
      </c>
      <c r="F4" s="28"/>
      <c r="G4" s="29" t="s">
        <v>112</v>
      </c>
      <c r="H4" s="30">
        <v>45992</v>
      </c>
      <c r="I4" s="28">
        <v>108</v>
      </c>
      <c r="J4" s="24" t="s">
        <v>30</v>
      </c>
      <c r="K4" s="28" t="s">
        <v>20</v>
      </c>
    </row>
    <row r="5" spans="1:11" ht="15.75">
      <c r="A5" s="36" t="s">
        <v>16</v>
      </c>
      <c r="B5" s="39">
        <f>_xlfn.XLOOKUP(Log_Atkinson14522[[#This Row],[Machine ]], PriceTable[Machine], PriceTable[$/Unit], "")</f>
        <v>0.1</v>
      </c>
      <c r="C5" s="25">
        <v>10</v>
      </c>
      <c r="D5" s="38">
        <v>3</v>
      </c>
      <c r="E5" s="23" t="s">
        <v>108</v>
      </c>
      <c r="F5" s="24"/>
      <c r="G5" s="25" t="s">
        <v>114</v>
      </c>
      <c r="H5" s="26">
        <v>45992</v>
      </c>
      <c r="I5" s="24">
        <v>109</v>
      </c>
      <c r="J5" s="24" t="s">
        <v>67</v>
      </c>
      <c r="K5" s="24" t="s">
        <v>20</v>
      </c>
    </row>
    <row r="6" spans="1:11" ht="15.75">
      <c r="A6" s="36" t="s">
        <v>16</v>
      </c>
      <c r="B6" s="37">
        <f>_xlfn.XLOOKUP(Log_Atkinson14522[[#This Row],[Machine ]], PriceTable[Machine], PriceTable[$/Unit], "")</f>
        <v>0.1</v>
      </c>
      <c r="C6" s="29">
        <v>401</v>
      </c>
      <c r="D6" s="38">
        <v>40.1</v>
      </c>
      <c r="E6" s="27" t="s">
        <v>115</v>
      </c>
      <c r="F6" s="28"/>
      <c r="G6" s="29" t="s">
        <v>114</v>
      </c>
      <c r="H6" s="26">
        <v>45992</v>
      </c>
      <c r="I6" s="24">
        <v>110</v>
      </c>
      <c r="J6" s="24" t="s">
        <v>47</v>
      </c>
      <c r="K6" s="24" t="s">
        <v>20</v>
      </c>
    </row>
    <row r="7" spans="1:11" ht="15.75">
      <c r="A7" s="36" t="s">
        <v>21</v>
      </c>
      <c r="B7" s="37" t="str">
        <f>_xlfn.XLOOKUP(Log_Atkinson14522[[#This Row],[Machine ]], PriceTable[Machine], PriceTable[$/Unit], "")</f>
        <v/>
      </c>
      <c r="C7" s="29">
        <v>12</v>
      </c>
      <c r="D7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7" s="27" t="s">
        <v>116</v>
      </c>
      <c r="F7" s="28"/>
      <c r="G7" s="29" t="s">
        <v>64</v>
      </c>
      <c r="H7" s="30">
        <v>45992</v>
      </c>
      <c r="I7" s="28">
        <v>111</v>
      </c>
      <c r="J7" s="24" t="s">
        <v>23</v>
      </c>
      <c r="K7" s="28" t="s">
        <v>20</v>
      </c>
    </row>
    <row r="8" spans="1:11" ht="15.75">
      <c r="A8" s="36" t="s">
        <v>16</v>
      </c>
      <c r="B8" s="37">
        <f>_xlfn.XLOOKUP(Log_Atkinson14522[[#This Row],[Machine ]], PriceTable[Machine], PriceTable[$/Unit], "")</f>
        <v>0.1</v>
      </c>
      <c r="C8" s="29">
        <v>41</v>
      </c>
      <c r="D8" s="38">
        <f>IF(OR(Log_Atkinson14522[[#This Row],[Machine ]]="", Log_Atkinson14522[[#This Row],[Unit Amount]]=""), "", IFERROR(MAX(Log_Atkinson14522[[#This Row],[Unit Amount]] * Log_Atkinson14522[[#This Row],[$/Unit]], 3), ""))</f>
        <v>4.1000000000000005</v>
      </c>
      <c r="E8" s="27" t="s">
        <v>117</v>
      </c>
      <c r="F8" s="28"/>
      <c r="G8" s="29" t="s">
        <v>62</v>
      </c>
      <c r="H8" s="30">
        <v>45992</v>
      </c>
      <c r="I8" s="28">
        <v>112</v>
      </c>
      <c r="J8" s="24" t="s">
        <v>23</v>
      </c>
      <c r="K8" s="28" t="s">
        <v>20</v>
      </c>
    </row>
    <row r="9" spans="1:11" ht="15.75">
      <c r="A9" s="36" t="s">
        <v>16</v>
      </c>
      <c r="B9" s="39">
        <f>_xlfn.XLOOKUP(Log_Atkinson14522[[#This Row],[Machine ]], PriceTable[Machine], PriceTable[$/Unit], "")</f>
        <v>0.1</v>
      </c>
      <c r="C9" s="25">
        <v>104</v>
      </c>
      <c r="D9" s="38">
        <f>IF(OR(Log_Atkinson14522[[#This Row],[Machine ]]="", Log_Atkinson14522[[#This Row],[Unit Amount]]=""), "", IFERROR(MAX(Log_Atkinson14522[[#This Row],[Unit Amount]] * Log_Atkinson14522[[#This Row],[$/Unit]], 3), ""))</f>
        <v>10.4</v>
      </c>
      <c r="E9" s="23" t="s">
        <v>118</v>
      </c>
      <c r="F9" s="24"/>
      <c r="G9" s="25" t="s">
        <v>102</v>
      </c>
      <c r="H9" s="26">
        <v>45993</v>
      </c>
      <c r="I9" s="24">
        <v>113</v>
      </c>
      <c r="J9" s="24" t="s">
        <v>19</v>
      </c>
      <c r="K9" s="24" t="s">
        <v>20</v>
      </c>
    </row>
    <row r="10" spans="1:11" ht="15.75">
      <c r="A10" s="36" t="s">
        <v>16</v>
      </c>
      <c r="B10" s="37">
        <f>_xlfn.XLOOKUP(Log_Atkinson14522[[#This Row],[Machine ]], PriceTable[Machine], PriceTable[$/Unit], "")</f>
        <v>0.1</v>
      </c>
      <c r="C10" s="29">
        <v>29</v>
      </c>
      <c r="D10" s="38">
        <f>IF(OR(Log_Atkinson14522[[#This Row],[Machine ]]="", Log_Atkinson14522[[#This Row],[Unit Amount]]=""), "", IFERROR(MAX(Log_Atkinson14522[[#This Row],[Unit Amount]] * Log_Atkinson14522[[#This Row],[$/Unit]], 3), ""))</f>
        <v>3</v>
      </c>
      <c r="E10" s="27" t="s">
        <v>43</v>
      </c>
      <c r="F10" s="28"/>
      <c r="G10" s="29" t="s">
        <v>60</v>
      </c>
      <c r="H10" s="30">
        <v>45993</v>
      </c>
      <c r="I10" s="28">
        <v>114</v>
      </c>
      <c r="J10" s="24" t="s">
        <v>49</v>
      </c>
      <c r="K10" s="28" t="s">
        <v>20</v>
      </c>
    </row>
    <row r="11" spans="1:11" ht="15.75">
      <c r="A11" s="36" t="s">
        <v>16</v>
      </c>
      <c r="B11" s="39">
        <f>_xlfn.XLOOKUP(Log_Atkinson14522[[#This Row],[Machine ]], PriceTable[Machine], PriceTable[$/Unit], "")</f>
        <v>0.1</v>
      </c>
      <c r="C11" s="25">
        <v>207</v>
      </c>
      <c r="D11" s="38">
        <f>IF(OR(Log_Atkinson14522[[#This Row],[Machine ]]="", Log_Atkinson14522[[#This Row],[Unit Amount]]=""), "", IFERROR(MAX(Log_Atkinson14522[[#This Row],[Unit Amount]] * Log_Atkinson14522[[#This Row],[$/Unit]], 3), ""))</f>
        <v>20.700000000000003</v>
      </c>
      <c r="E11" s="23" t="s">
        <v>79</v>
      </c>
      <c r="F11" s="24"/>
      <c r="G11" s="25" t="s">
        <v>62</v>
      </c>
      <c r="H11" s="26">
        <v>45993</v>
      </c>
      <c r="I11" s="24">
        <v>115</v>
      </c>
      <c r="J11" s="24" t="s">
        <v>49</v>
      </c>
      <c r="K11" s="24" t="s">
        <v>20</v>
      </c>
    </row>
    <row r="12" spans="1:11" ht="15.75">
      <c r="A12" s="36" t="s">
        <v>16</v>
      </c>
      <c r="B12" s="37">
        <f>_xlfn.XLOOKUP(Log_Atkinson14522[[#This Row],[Machine ]], PriceTable[Machine], PriceTable[$/Unit], "")</f>
        <v>0.1</v>
      </c>
      <c r="C12" s="29">
        <v>163</v>
      </c>
      <c r="D12" s="38">
        <f>IF(OR(Log_Atkinson14522[[#This Row],[Machine ]]="", Log_Atkinson14522[[#This Row],[Unit Amount]]=""), "", IFERROR(MAX(Log_Atkinson14522[[#This Row],[Unit Amount]] * Log_Atkinson14522[[#This Row],[$/Unit]], 3), ""))</f>
        <v>16.3</v>
      </c>
      <c r="E12" s="27" t="s">
        <v>115</v>
      </c>
      <c r="F12" s="28"/>
      <c r="G12" s="29" t="s">
        <v>44</v>
      </c>
      <c r="H12" s="30">
        <v>45993</v>
      </c>
      <c r="I12" s="28">
        <v>116</v>
      </c>
      <c r="J12" s="24" t="s">
        <v>27</v>
      </c>
      <c r="K12" s="28" t="s">
        <v>20</v>
      </c>
    </row>
    <row r="13" spans="1:11" ht="15.75">
      <c r="A13" s="36" t="s">
        <v>21</v>
      </c>
      <c r="B13" s="39" t="str">
        <f>_xlfn.XLOOKUP(Log_Atkinson14522[[#This Row],[Machine ]], PriceTable[Machine], PriceTable[$/Unit], "")</f>
        <v/>
      </c>
      <c r="C13" s="25">
        <v>139</v>
      </c>
      <c r="D13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13" s="23" t="s">
        <v>119</v>
      </c>
      <c r="F13" s="24"/>
      <c r="G13" s="25" t="s">
        <v>120</v>
      </c>
      <c r="H13" s="26">
        <v>45993</v>
      </c>
      <c r="I13" s="24">
        <v>118</v>
      </c>
      <c r="J13" s="24" t="s">
        <v>23</v>
      </c>
      <c r="K13" s="24" t="s">
        <v>20</v>
      </c>
    </row>
    <row r="14" spans="1:11" ht="17.25" customHeight="1">
      <c r="A14" s="36" t="s">
        <v>16</v>
      </c>
      <c r="B14" s="37">
        <f>_xlfn.XLOOKUP(Log_Atkinson14522[[#This Row],[Machine ]], PriceTable[Machine], PriceTable[$/Unit], "")</f>
        <v>0.1</v>
      </c>
      <c r="C14" s="29">
        <v>96</v>
      </c>
      <c r="D14" s="38">
        <f>IF(OR(Log_Atkinson14522[[#This Row],[Machine ]]="", Log_Atkinson14522[[#This Row],[Unit Amount]]=""), "", IFERROR(MAX(Log_Atkinson14522[[#This Row],[Unit Amount]] * Log_Atkinson14522[[#This Row],[$/Unit]], 3), ""))</f>
        <v>9.6000000000000014</v>
      </c>
      <c r="E14" s="27" t="s">
        <v>121</v>
      </c>
      <c r="F14" s="28"/>
      <c r="G14" s="29" t="s">
        <v>122</v>
      </c>
      <c r="H14" s="30">
        <v>45993</v>
      </c>
      <c r="I14" s="28">
        <v>119</v>
      </c>
      <c r="J14" s="24" t="s">
        <v>23</v>
      </c>
      <c r="K14" s="28" t="s">
        <v>20</v>
      </c>
    </row>
    <row r="15" spans="1:11" ht="56.25" customHeight="1">
      <c r="A15" s="36" t="s">
        <v>16</v>
      </c>
      <c r="B15" s="39">
        <f>_xlfn.XLOOKUP(Log_Atkinson14522[[#This Row],[Machine ]], PriceTable[Machine], PriceTable[$/Unit], "")</f>
        <v>0.1</v>
      </c>
      <c r="C15" s="25">
        <v>20</v>
      </c>
      <c r="D15" s="38">
        <f>IF(OR(Log_Atkinson14522[[#This Row],[Machine ]]="", Log_Atkinson14522[[#This Row],[Unit Amount]]=""), "", IFERROR(MAX(Log_Atkinson14522[[#This Row],[Unit Amount]] * Log_Atkinson14522[[#This Row],[$/Unit]], 3), ""))</f>
        <v>3</v>
      </c>
      <c r="E15" s="23" t="s">
        <v>123</v>
      </c>
      <c r="F15" s="61" t="s">
        <v>124</v>
      </c>
      <c r="G15" s="25" t="s">
        <v>120</v>
      </c>
      <c r="H15" s="26">
        <v>45993</v>
      </c>
      <c r="I15" s="24"/>
      <c r="J15" s="24" t="s">
        <v>32</v>
      </c>
      <c r="K15" s="24" t="s">
        <v>20</v>
      </c>
    </row>
    <row r="16" spans="1:11" ht="15.75">
      <c r="A16" s="36" t="s">
        <v>16</v>
      </c>
      <c r="B16" s="37">
        <f>_xlfn.XLOOKUP(Log_Atkinson14522[[#This Row],[Machine ]], PriceTable[Machine], PriceTable[$/Unit], "")</f>
        <v>0.1</v>
      </c>
      <c r="C16" s="29">
        <v>32</v>
      </c>
      <c r="D16" s="38">
        <f>IF(OR(Log_Atkinson14522[[#This Row],[Machine ]]="", Log_Atkinson14522[[#This Row],[Unit Amount]]=""), "", IFERROR(MAX(Log_Atkinson14522[[#This Row],[Unit Amount]] * Log_Atkinson14522[[#This Row],[$/Unit]], 3), ""))</f>
        <v>3.2</v>
      </c>
      <c r="E16" s="27" t="s">
        <v>125</v>
      </c>
      <c r="F16" s="28"/>
      <c r="G16" s="29" t="s">
        <v>120</v>
      </c>
      <c r="H16" s="30">
        <v>45993</v>
      </c>
      <c r="I16" s="28">
        <v>121</v>
      </c>
      <c r="J16" s="24" t="s">
        <v>32</v>
      </c>
      <c r="K16" s="28" t="s">
        <v>20</v>
      </c>
    </row>
    <row r="17" spans="1:11" ht="15.75">
      <c r="A17" s="36" t="s">
        <v>16</v>
      </c>
      <c r="B17" s="39">
        <f>_xlfn.XLOOKUP(Log_Atkinson14522[[#This Row],[Machine ]], PriceTable[Machine], PriceTable[$/Unit], "")</f>
        <v>0.1</v>
      </c>
      <c r="C17" s="25">
        <v>42</v>
      </c>
      <c r="D17" s="38">
        <f>IF(OR(Log_Atkinson14522[[#This Row],[Machine ]]="", Log_Atkinson14522[[#This Row],[Unit Amount]]=""), "", IFERROR(MAX(Log_Atkinson14522[[#This Row],[Unit Amount]] * Log_Atkinson14522[[#This Row],[$/Unit]], 3), ""))</f>
        <v>4.2</v>
      </c>
      <c r="E17" s="23" t="s">
        <v>126</v>
      </c>
      <c r="F17" s="24"/>
      <c r="G17" s="25" t="s">
        <v>120</v>
      </c>
      <c r="H17" s="26">
        <v>45993</v>
      </c>
      <c r="I17" s="24">
        <v>122</v>
      </c>
      <c r="J17" s="24" t="s">
        <v>32</v>
      </c>
      <c r="K17" s="24" t="s">
        <v>20</v>
      </c>
    </row>
    <row r="18" spans="1:11" ht="15.75">
      <c r="A18" s="36" t="s">
        <v>16</v>
      </c>
      <c r="B18" s="37">
        <f>_xlfn.XLOOKUP(Log_Atkinson14522[[#This Row],[Machine ]], PriceTable[Machine], PriceTable[$/Unit], "")</f>
        <v>0.1</v>
      </c>
      <c r="C18" s="29">
        <v>121</v>
      </c>
      <c r="D18" s="38">
        <f>IF(OR(Log_Atkinson14522[[#This Row],[Machine ]]="", Log_Atkinson14522[[#This Row],[Unit Amount]]=""), "", IFERROR(MAX(Log_Atkinson14522[[#This Row],[Unit Amount]] * Log_Atkinson14522[[#This Row],[$/Unit]], 3), ""))</f>
        <v>12.100000000000001</v>
      </c>
      <c r="E18" s="27" t="s">
        <v>127</v>
      </c>
      <c r="F18" s="28"/>
      <c r="G18" s="29" t="s">
        <v>128</v>
      </c>
      <c r="H18" s="30">
        <v>45993</v>
      </c>
      <c r="I18" s="28">
        <v>123</v>
      </c>
      <c r="J18" s="24" t="s">
        <v>19</v>
      </c>
      <c r="K18" s="28" t="s">
        <v>20</v>
      </c>
    </row>
    <row r="19" spans="1:11" ht="15.75">
      <c r="A19" s="36" t="s">
        <v>16</v>
      </c>
      <c r="B19" s="39">
        <f>_xlfn.XLOOKUP(Log_Atkinson14522[[#This Row],[Machine ]], PriceTable[Machine], PriceTable[$/Unit], "")</f>
        <v>0.1</v>
      </c>
      <c r="C19" s="25">
        <v>16</v>
      </c>
      <c r="D19" s="38">
        <f>IF(OR(Log_Atkinson14522[[#This Row],[Machine ]]="", Log_Atkinson14522[[#This Row],[Unit Amount]]=""), "", IFERROR(MAX(Log_Atkinson14522[[#This Row],[Unit Amount]] * Log_Atkinson14522[[#This Row],[$/Unit]], 3), ""))</f>
        <v>3</v>
      </c>
      <c r="E19" s="23" t="s">
        <v>129</v>
      </c>
      <c r="F19" s="24"/>
      <c r="G19" s="25" t="s">
        <v>128</v>
      </c>
      <c r="H19" s="26">
        <v>45994</v>
      </c>
      <c r="I19" s="24">
        <v>124</v>
      </c>
      <c r="J19" s="24" t="s">
        <v>23</v>
      </c>
      <c r="K19" s="24" t="s">
        <v>20</v>
      </c>
    </row>
    <row r="20" spans="1:11" ht="15.75">
      <c r="A20" s="36" t="s">
        <v>16</v>
      </c>
      <c r="B20" s="37">
        <f>_xlfn.XLOOKUP(Log_Atkinson14522[[#This Row],[Machine ]], PriceTable[Machine], PriceTable[$/Unit], "")</f>
        <v>0.1</v>
      </c>
      <c r="C20" s="29">
        <v>303</v>
      </c>
      <c r="D20" s="38">
        <f>IF(OR(Log_Atkinson14522[[#This Row],[Machine ]]="", Log_Atkinson14522[[#This Row],[Unit Amount]]=""), "", IFERROR(MAX(Log_Atkinson14522[[#This Row],[Unit Amount]] * Log_Atkinson14522[[#This Row],[$/Unit]], 3), ""))</f>
        <v>30.3</v>
      </c>
      <c r="E20" s="27" t="s">
        <v>130</v>
      </c>
      <c r="F20" s="28"/>
      <c r="G20" s="29" t="s">
        <v>131</v>
      </c>
      <c r="H20" s="30">
        <v>45994</v>
      </c>
      <c r="I20" s="28">
        <v>125</v>
      </c>
      <c r="J20" s="24" t="s">
        <v>35</v>
      </c>
      <c r="K20" s="28" t="s">
        <v>20</v>
      </c>
    </row>
    <row r="21" spans="1:11" ht="15.75">
      <c r="A21" s="36" t="s">
        <v>16</v>
      </c>
      <c r="B21" s="39">
        <f>_xlfn.XLOOKUP(Log_Atkinson14522[[#This Row],[Machine ]], PriceTable[Machine], PriceTable[$/Unit], "")</f>
        <v>0.1</v>
      </c>
      <c r="C21" s="25">
        <v>46</v>
      </c>
      <c r="D21" s="38">
        <f>IF(OR(Log_Atkinson14522[[#This Row],[Machine ]]="", Log_Atkinson14522[[#This Row],[Unit Amount]]=""), "", IFERROR(MAX(Log_Atkinson14522[[#This Row],[Unit Amount]] * Log_Atkinson14522[[#This Row],[$/Unit]], 3), ""))</f>
        <v>4.6000000000000005</v>
      </c>
      <c r="E21" s="23" t="s">
        <v>132</v>
      </c>
      <c r="F21" s="24" t="s">
        <v>133</v>
      </c>
      <c r="G21" s="25" t="s">
        <v>134</v>
      </c>
      <c r="H21" s="26">
        <v>45994</v>
      </c>
      <c r="I21" s="24">
        <v>126</v>
      </c>
      <c r="J21" s="24" t="s">
        <v>80</v>
      </c>
      <c r="K21" s="24" t="s">
        <v>20</v>
      </c>
    </row>
    <row r="22" spans="1:11" ht="15.75">
      <c r="A22" s="36" t="s">
        <v>16</v>
      </c>
      <c r="B22" s="37">
        <f>_xlfn.XLOOKUP(Log_Atkinson14522[[#This Row],[Machine ]], PriceTable[Machine], PriceTable[$/Unit], "")</f>
        <v>0.1</v>
      </c>
      <c r="C22" s="29">
        <v>110</v>
      </c>
      <c r="D22" s="38">
        <f>IF(OR(Log_Atkinson14522[[#This Row],[Machine ]]="", Log_Atkinson14522[[#This Row],[Unit Amount]]=""), "", IFERROR(MAX(Log_Atkinson14522[[#This Row],[Unit Amount]] * Log_Atkinson14522[[#This Row],[$/Unit]], 3), ""))</f>
        <v>11</v>
      </c>
      <c r="E22" s="27" t="s">
        <v>135</v>
      </c>
      <c r="F22" s="28"/>
      <c r="G22" s="29" t="s">
        <v>62</v>
      </c>
      <c r="H22" s="30">
        <v>45994</v>
      </c>
      <c r="I22" s="28">
        <v>127</v>
      </c>
      <c r="J22" s="24" t="s">
        <v>80</v>
      </c>
      <c r="K22" s="28" t="s">
        <v>20</v>
      </c>
    </row>
    <row r="23" spans="1:11" ht="15.75">
      <c r="A23" s="36" t="s">
        <v>16</v>
      </c>
      <c r="B23" s="39">
        <f>_xlfn.XLOOKUP(Log_Atkinson14522[[#This Row],[Machine ]], PriceTable[Machine], PriceTable[$/Unit], "")</f>
        <v>0.1</v>
      </c>
      <c r="C23" s="25">
        <v>30</v>
      </c>
      <c r="D23" s="38">
        <f>IF(OR(Log_Atkinson14522[[#This Row],[Machine ]]="", Log_Atkinson14522[[#This Row],[Unit Amount]]=""), "", IFERROR(MAX(Log_Atkinson14522[[#This Row],[Unit Amount]] * Log_Atkinson14522[[#This Row],[$/Unit]], 3), ""))</f>
        <v>3</v>
      </c>
      <c r="E23" s="23" t="s">
        <v>136</v>
      </c>
      <c r="F23" s="24"/>
      <c r="G23" s="25" t="s">
        <v>64</v>
      </c>
      <c r="H23" s="26">
        <v>45994</v>
      </c>
      <c r="I23" s="24">
        <v>128</v>
      </c>
      <c r="J23" s="24" t="s">
        <v>80</v>
      </c>
      <c r="K23" s="24" t="s">
        <v>20</v>
      </c>
    </row>
    <row r="24" spans="1:11" ht="15.75">
      <c r="A24" s="36" t="s">
        <v>16</v>
      </c>
      <c r="B24" s="37">
        <f>_xlfn.XLOOKUP(Log_Atkinson14522[[#This Row],[Machine ]], PriceTable[Machine], PriceTable[$/Unit], "")</f>
        <v>0.1</v>
      </c>
      <c r="C24" s="29">
        <v>159</v>
      </c>
      <c r="D24" s="38">
        <f>IF(OR(Log_Atkinson14522[[#This Row],[Machine ]]="", Log_Atkinson14522[[#This Row],[Unit Amount]]=""), "", IFERROR(MAX(Log_Atkinson14522[[#This Row],[Unit Amount]] * Log_Atkinson14522[[#This Row],[$/Unit]], 3), ""))</f>
        <v>15.9</v>
      </c>
      <c r="E24" s="27" t="s">
        <v>82</v>
      </c>
      <c r="F24" s="28" t="s">
        <v>137</v>
      </c>
      <c r="G24" s="29" t="s">
        <v>25</v>
      </c>
      <c r="H24" s="30">
        <v>45994</v>
      </c>
      <c r="I24" s="28">
        <v>129</v>
      </c>
      <c r="J24" s="24" t="s">
        <v>23</v>
      </c>
      <c r="K24" s="28" t="s">
        <v>20</v>
      </c>
    </row>
    <row r="25" spans="1:11" ht="15.75">
      <c r="A25" s="36" t="s">
        <v>16</v>
      </c>
      <c r="B25" s="39">
        <f>_xlfn.XLOOKUP(Log_Atkinson14522[[#This Row],[Machine ]], PriceTable[Machine], PriceTable[$/Unit], "")</f>
        <v>0.1</v>
      </c>
      <c r="C25" s="25">
        <v>73</v>
      </c>
      <c r="D25" s="38">
        <f>IF(OR(Log_Atkinson14522[[#This Row],[Machine ]]="", Log_Atkinson14522[[#This Row],[Unit Amount]]=""), "", IFERROR(MAX(Log_Atkinson14522[[#This Row],[Unit Amount]] * Log_Atkinson14522[[#This Row],[$/Unit]], 3), ""))</f>
        <v>7.3000000000000007</v>
      </c>
      <c r="E25" s="23" t="s">
        <v>138</v>
      </c>
      <c r="F25" s="24"/>
      <c r="G25" s="25" t="s">
        <v>62</v>
      </c>
      <c r="H25" s="26">
        <v>45994</v>
      </c>
      <c r="I25" s="24">
        <v>130</v>
      </c>
      <c r="J25" s="24" t="s">
        <v>23</v>
      </c>
      <c r="K25" s="24" t="s">
        <v>20</v>
      </c>
    </row>
    <row r="26" spans="1:11" ht="15.75">
      <c r="A26" s="36" t="s">
        <v>16</v>
      </c>
      <c r="B26" s="37">
        <f>_xlfn.XLOOKUP(Log_Atkinson14522[[#This Row],[Machine ]], PriceTable[Machine], PriceTable[$/Unit], "")</f>
        <v>0.1</v>
      </c>
      <c r="C26" s="29">
        <v>103</v>
      </c>
      <c r="D26" s="38">
        <f>IF(OR(Log_Atkinson14522[[#This Row],[Machine ]]="", Log_Atkinson14522[[#This Row],[Unit Amount]]=""), "", IFERROR(MAX(Log_Atkinson14522[[#This Row],[Unit Amount]] * Log_Atkinson14522[[#This Row],[$/Unit]], 3), ""))</f>
        <v>10.3</v>
      </c>
      <c r="E26" s="27" t="s">
        <v>123</v>
      </c>
      <c r="F26" s="28"/>
      <c r="G26" s="29" t="s">
        <v>120</v>
      </c>
      <c r="H26" s="30">
        <v>45994</v>
      </c>
      <c r="I26" s="28">
        <v>131</v>
      </c>
      <c r="J26" s="24" t="s">
        <v>23</v>
      </c>
      <c r="K26" s="28" t="s">
        <v>20</v>
      </c>
    </row>
    <row r="27" spans="1:11" ht="15.75">
      <c r="A27" s="36" t="s">
        <v>16</v>
      </c>
      <c r="B27" s="39">
        <f>_xlfn.XLOOKUP(Log_Atkinson14522[[#This Row],[Machine ]], PriceTable[Machine], PriceTable[$/Unit], "")</f>
        <v>0.1</v>
      </c>
      <c r="C27" s="25">
        <v>232</v>
      </c>
      <c r="D27" s="38">
        <f>IF(OR(Log_Atkinson14522[[#This Row],[Machine ]]="", Log_Atkinson14522[[#This Row],[Unit Amount]]=""), "", IFERROR(MAX(Log_Atkinson14522[[#This Row],[Unit Amount]] * Log_Atkinson14522[[#This Row],[$/Unit]], 3), ""))</f>
        <v>23.200000000000003</v>
      </c>
      <c r="E27" s="23" t="s">
        <v>130</v>
      </c>
      <c r="F27" s="24"/>
      <c r="G27" s="25" t="s">
        <v>139</v>
      </c>
      <c r="H27" s="26">
        <v>45995</v>
      </c>
      <c r="I27" s="24">
        <v>132</v>
      </c>
      <c r="J27" s="24" t="s">
        <v>37</v>
      </c>
      <c r="K27" s="24" t="s">
        <v>20</v>
      </c>
    </row>
    <row r="28" spans="1:11" ht="15.75">
      <c r="A28" s="36" t="s">
        <v>16</v>
      </c>
      <c r="B28" s="37">
        <f>_xlfn.XLOOKUP(Log_Atkinson14522[[#This Row],[Machine ]], PriceTable[Machine], PriceTable[$/Unit], "")</f>
        <v>0.1</v>
      </c>
      <c r="C28" s="29">
        <v>32</v>
      </c>
      <c r="D28" s="38">
        <f>IF(OR(Log_Atkinson14522[[#This Row],[Machine ]]="", Log_Atkinson14522[[#This Row],[Unit Amount]]=""), "", IFERROR(MAX(Log_Atkinson14522[[#This Row],[Unit Amount]] * Log_Atkinson14522[[#This Row],[$/Unit]], 3), ""))</f>
        <v>3.2</v>
      </c>
      <c r="E28" s="27" t="s">
        <v>140</v>
      </c>
      <c r="F28" s="28"/>
      <c r="G28" s="29" t="s">
        <v>120</v>
      </c>
      <c r="H28" s="30">
        <v>45995</v>
      </c>
      <c r="I28" s="28">
        <v>133</v>
      </c>
      <c r="J28" s="24" t="s">
        <v>35</v>
      </c>
      <c r="K28" s="28" t="s">
        <v>20</v>
      </c>
    </row>
    <row r="29" spans="1:11" ht="15.75">
      <c r="A29" s="36" t="s">
        <v>16</v>
      </c>
      <c r="B29" s="39">
        <f>_xlfn.XLOOKUP(Log_Atkinson14522[[#This Row],[Machine ]], PriceTable[Machine], PriceTable[$/Unit], "")</f>
        <v>0.1</v>
      </c>
      <c r="C29" s="25">
        <f>93+298</f>
        <v>391</v>
      </c>
      <c r="D29" s="38">
        <f>IF(OR(Log_Atkinson14522[[#This Row],[Machine ]]="", Log_Atkinson14522[[#This Row],[Unit Amount]]=""), "", IFERROR(MAX(Log_Atkinson14522[[#This Row],[Unit Amount]] * Log_Atkinson14522[[#This Row],[$/Unit]], 3), ""))</f>
        <v>39.1</v>
      </c>
      <c r="E29" s="23" t="s">
        <v>61</v>
      </c>
      <c r="F29" s="24"/>
      <c r="G29" s="25" t="s">
        <v>62</v>
      </c>
      <c r="H29" s="26">
        <v>45995</v>
      </c>
      <c r="I29" s="24">
        <v>134</v>
      </c>
      <c r="J29" s="24" t="s">
        <v>49</v>
      </c>
      <c r="K29" s="24" t="s">
        <v>20</v>
      </c>
    </row>
    <row r="30" spans="1:11" ht="15.75">
      <c r="A30" s="36" t="s">
        <v>16</v>
      </c>
      <c r="B30" s="37">
        <f>_xlfn.XLOOKUP(Log_Atkinson14522[[#This Row],[Machine ]], PriceTable[Machine], PriceTable[$/Unit], "")</f>
        <v>0.1</v>
      </c>
      <c r="C30" s="29">
        <v>70</v>
      </c>
      <c r="D30" s="38">
        <f>IF(OR(Log_Atkinson14522[[#This Row],[Machine ]]="", Log_Atkinson14522[[#This Row],[Unit Amount]]=""), "", IFERROR(MAX(Log_Atkinson14522[[#This Row],[Unit Amount]] * Log_Atkinson14522[[#This Row],[$/Unit]], 3), ""))</f>
        <v>7</v>
      </c>
      <c r="E30" s="27" t="s">
        <v>141</v>
      </c>
      <c r="F30" s="28"/>
      <c r="G30" s="29" t="s">
        <v>120</v>
      </c>
      <c r="H30" s="30">
        <v>45995</v>
      </c>
      <c r="I30" s="28">
        <v>135</v>
      </c>
      <c r="J30" s="24" t="s">
        <v>49</v>
      </c>
      <c r="K30" s="28" t="s">
        <v>20</v>
      </c>
    </row>
    <row r="31" spans="1:11" ht="15.75">
      <c r="A31" s="36" t="s">
        <v>16</v>
      </c>
      <c r="B31" s="39">
        <f>_xlfn.XLOOKUP(Log_Atkinson14522[[#This Row],[Machine ]], PriceTable[Machine], PriceTable[$/Unit], "")</f>
        <v>0.1</v>
      </c>
      <c r="C31" s="25">
        <v>29</v>
      </c>
      <c r="D31" s="38">
        <f>IF(OR(Log_Atkinson14522[[#This Row],[Machine ]]="", Log_Atkinson14522[[#This Row],[Unit Amount]]=""), "", IFERROR(MAX(Log_Atkinson14522[[#This Row],[Unit Amount]] * Log_Atkinson14522[[#This Row],[$/Unit]], 3), ""))</f>
        <v>3</v>
      </c>
      <c r="E31" s="23" t="s">
        <v>142</v>
      </c>
      <c r="F31" s="24"/>
      <c r="G31" s="25" t="s">
        <v>120</v>
      </c>
      <c r="H31" s="26">
        <v>45995</v>
      </c>
      <c r="I31" s="24">
        <v>136</v>
      </c>
      <c r="J31" s="24" t="s">
        <v>37</v>
      </c>
      <c r="K31" s="24" t="s">
        <v>20</v>
      </c>
    </row>
    <row r="32" spans="1:11" ht="15.75">
      <c r="A32" s="36" t="s">
        <v>16</v>
      </c>
      <c r="B32" s="37">
        <f>_xlfn.XLOOKUP(Log_Atkinson14522[[#This Row],[Machine ]], PriceTable[Machine], PriceTable[$/Unit], "")</f>
        <v>0.1</v>
      </c>
      <c r="C32" s="29">
        <v>216</v>
      </c>
      <c r="D32" s="38">
        <f>IF(OR(Log_Atkinson14522[[#This Row],[Machine ]]="", Log_Atkinson14522[[#This Row],[Unit Amount]]=""), "", IFERROR(MAX(Log_Atkinson14522[[#This Row],[Unit Amount]] * Log_Atkinson14522[[#This Row],[$/Unit]], 3), ""))</f>
        <v>21.6</v>
      </c>
      <c r="E32" s="27" t="s">
        <v>143</v>
      </c>
      <c r="F32" s="28"/>
      <c r="G32" s="29" t="s">
        <v>25</v>
      </c>
      <c r="H32" s="30">
        <v>45995</v>
      </c>
      <c r="I32" s="28">
        <v>137</v>
      </c>
      <c r="J32" s="24" t="s">
        <v>37</v>
      </c>
      <c r="K32" s="28" t="s">
        <v>20</v>
      </c>
    </row>
    <row r="33" spans="1:11" ht="15.75">
      <c r="A33" s="36" t="s">
        <v>16</v>
      </c>
      <c r="B33" s="39">
        <f>_xlfn.XLOOKUP(Log_Atkinson14522[[#This Row],[Machine ]], PriceTable[Machine], PriceTable[$/Unit], "")</f>
        <v>0.1</v>
      </c>
      <c r="C33" s="25">
        <v>162</v>
      </c>
      <c r="D33" s="38">
        <f>IF(OR(Log_Atkinson14522[[#This Row],[Machine ]]="", Log_Atkinson14522[[#This Row],[Unit Amount]]=""), "", IFERROR(MAX(Log_Atkinson14522[[#This Row],[Unit Amount]] * Log_Atkinson14522[[#This Row],[$/Unit]], 3), ""))</f>
        <v>16.2</v>
      </c>
      <c r="E33" s="23" t="s">
        <v>33</v>
      </c>
      <c r="F33" s="24"/>
      <c r="G33" s="25" t="s">
        <v>25</v>
      </c>
      <c r="H33" s="26">
        <v>45995</v>
      </c>
      <c r="I33" s="24">
        <v>138</v>
      </c>
      <c r="J33" s="24" t="s">
        <v>32</v>
      </c>
      <c r="K33" s="24" t="s">
        <v>20</v>
      </c>
    </row>
    <row r="34" spans="1:11" ht="15.75">
      <c r="A34" s="36" t="s">
        <v>16</v>
      </c>
      <c r="B34" s="37">
        <f>_xlfn.XLOOKUP(Log_Atkinson14522[[#This Row],[Machine ]], PriceTable[Machine], PriceTable[$/Unit], "")</f>
        <v>0.1</v>
      </c>
      <c r="C34" s="29">
        <v>189</v>
      </c>
      <c r="D34" s="38">
        <f>IF(OR(Log_Atkinson14522[[#This Row],[Machine ]]="", Log_Atkinson14522[[#This Row],[Unit Amount]]=""), "", IFERROR(MAX(Log_Atkinson14522[[#This Row],[Unit Amount]] * Log_Atkinson14522[[#This Row],[$/Unit]], 3), ""))</f>
        <v>18.900000000000002</v>
      </c>
      <c r="E34" s="27" t="s">
        <v>144</v>
      </c>
      <c r="F34" s="28"/>
      <c r="G34" s="29" t="s">
        <v>128</v>
      </c>
      <c r="H34" s="30">
        <v>45995</v>
      </c>
      <c r="I34" s="28">
        <v>139</v>
      </c>
      <c r="J34" s="24" t="s">
        <v>32</v>
      </c>
      <c r="K34" s="28" t="s">
        <v>20</v>
      </c>
    </row>
    <row r="35" spans="1:11" ht="15.75">
      <c r="A35" s="36" t="s">
        <v>16</v>
      </c>
      <c r="B35" s="39">
        <f>_xlfn.XLOOKUP(Log_Atkinson14522[[#This Row],[Machine ]], PriceTable[Machine], PriceTable[$/Unit], "")</f>
        <v>0.1</v>
      </c>
      <c r="C35" s="25">
        <v>32</v>
      </c>
      <c r="D35" s="38">
        <f>IF(OR(Log_Atkinson14522[[#This Row],[Machine ]]="", Log_Atkinson14522[[#This Row],[Unit Amount]]=""), "", IFERROR(MAX(Log_Atkinson14522[[#This Row],[Unit Amount]] * Log_Atkinson14522[[#This Row],[$/Unit]], 3), ""))</f>
        <v>3.2</v>
      </c>
      <c r="E35" s="23" t="s">
        <v>145</v>
      </c>
      <c r="F35" s="24"/>
      <c r="G35" s="25" t="s">
        <v>120</v>
      </c>
      <c r="H35" s="26">
        <v>45995</v>
      </c>
      <c r="I35" s="24">
        <v>140</v>
      </c>
      <c r="J35" s="24" t="s">
        <v>32</v>
      </c>
      <c r="K35" s="24" t="s">
        <v>20</v>
      </c>
    </row>
    <row r="36" spans="1:11" ht="15.75">
      <c r="A36" s="36" t="s">
        <v>16</v>
      </c>
      <c r="B36" s="37">
        <f>_xlfn.XLOOKUP(Log_Atkinson14522[[#This Row],[Machine ]], PriceTable[Machine], PriceTable[$/Unit], "")</f>
        <v>0.1</v>
      </c>
      <c r="C36" s="29">
        <v>134</v>
      </c>
      <c r="D36" s="38">
        <f>IF(OR(Log_Atkinson14522[[#This Row],[Machine ]]="", Log_Atkinson14522[[#This Row],[Unit Amount]]=""), "", IFERROR(MAX(Log_Atkinson14522[[#This Row],[Unit Amount]] * Log_Atkinson14522[[#This Row],[$/Unit]], 3), ""))</f>
        <v>13.4</v>
      </c>
      <c r="E36" s="27" t="s">
        <v>146</v>
      </c>
      <c r="F36" s="28"/>
      <c r="G36" s="29" t="s">
        <v>102</v>
      </c>
      <c r="H36" s="30">
        <v>45995</v>
      </c>
      <c r="I36" s="28">
        <v>141</v>
      </c>
      <c r="J36" s="24" t="s">
        <v>47</v>
      </c>
      <c r="K36" s="28" t="s">
        <v>20</v>
      </c>
    </row>
    <row r="37" spans="1:11" ht="15.75">
      <c r="A37" s="36" t="s">
        <v>16</v>
      </c>
      <c r="B37" s="39">
        <f>_xlfn.XLOOKUP(Log_Atkinson14522[[#This Row],[Machine ]], PriceTable[Machine], PriceTable[$/Unit], "")</f>
        <v>0.1</v>
      </c>
      <c r="C37" s="25">
        <v>264</v>
      </c>
      <c r="D37" s="38">
        <f>IF(OR(Log_Atkinson14522[[#This Row],[Machine ]]="", Log_Atkinson14522[[#This Row],[Unit Amount]]=""), "", IFERROR(MAX(Log_Atkinson14522[[#This Row],[Unit Amount]] * Log_Atkinson14522[[#This Row],[$/Unit]], 3), ""))</f>
        <v>26.400000000000002</v>
      </c>
      <c r="E37" s="23" t="s">
        <v>129</v>
      </c>
      <c r="F37" s="24"/>
      <c r="G37" s="25" t="s">
        <v>104</v>
      </c>
      <c r="H37" s="26">
        <v>45995</v>
      </c>
      <c r="I37" s="24">
        <v>142</v>
      </c>
      <c r="J37" s="24" t="s">
        <v>19</v>
      </c>
      <c r="K37" s="24" t="s">
        <v>20</v>
      </c>
    </row>
    <row r="38" spans="1:11" ht="15.75">
      <c r="A38" s="36" t="s">
        <v>16</v>
      </c>
      <c r="B38" s="37">
        <f>_xlfn.XLOOKUP(Log_Atkinson14522[[#This Row],[Machine ]], PriceTable[Machine], PriceTable[$/Unit], "")</f>
        <v>0.1</v>
      </c>
      <c r="C38" s="29">
        <v>47</v>
      </c>
      <c r="D38" s="38">
        <f>IF(OR(Log_Atkinson14522[[#This Row],[Machine ]]="", Log_Atkinson14522[[#This Row],[Unit Amount]]=""), "", IFERROR(MAX(Log_Atkinson14522[[#This Row],[Unit Amount]] * Log_Atkinson14522[[#This Row],[$/Unit]], 3), ""))</f>
        <v>4.7</v>
      </c>
      <c r="E38" s="27" t="s">
        <v>147</v>
      </c>
      <c r="F38" s="28"/>
      <c r="G38" s="29" t="s">
        <v>120</v>
      </c>
      <c r="H38" s="30">
        <v>45995</v>
      </c>
      <c r="I38" s="28">
        <v>143</v>
      </c>
      <c r="J38" s="24" t="s">
        <v>19</v>
      </c>
      <c r="K38" s="28" t="s">
        <v>20</v>
      </c>
    </row>
    <row r="39" spans="1:11" ht="15.75">
      <c r="A39" s="36" t="s">
        <v>16</v>
      </c>
      <c r="B39" s="39">
        <f>_xlfn.XLOOKUP(Log_Atkinson14522[[#This Row],[Machine ]], PriceTable[Machine], PriceTable[$/Unit], "")</f>
        <v>0.1</v>
      </c>
      <c r="C39" s="25">
        <v>95</v>
      </c>
      <c r="D39" s="38">
        <f>IF(OR(Log_Atkinson14522[[#This Row],[Machine ]]="", Log_Atkinson14522[[#This Row],[Unit Amount]]=""), "", IFERROR(MAX(Log_Atkinson14522[[#This Row],[Unit Amount]] * Log_Atkinson14522[[#This Row],[$/Unit]], 3), ""))</f>
        <v>9.5</v>
      </c>
      <c r="E39" s="23" t="s">
        <v>82</v>
      </c>
      <c r="F39" s="24"/>
      <c r="G39" s="25" t="s">
        <v>25</v>
      </c>
      <c r="H39" s="26">
        <v>45996</v>
      </c>
      <c r="I39" s="24">
        <v>144</v>
      </c>
      <c r="J39" s="24" t="s">
        <v>23</v>
      </c>
      <c r="K39" s="24" t="s">
        <v>20</v>
      </c>
    </row>
    <row r="40" spans="1:11" ht="15.75">
      <c r="A40" s="36" t="s">
        <v>16</v>
      </c>
      <c r="B40" s="37">
        <f>_xlfn.XLOOKUP(Log_Atkinson14522[[#This Row],[Machine ]], PriceTable[Machine], PriceTable[$/Unit], "")</f>
        <v>0.1</v>
      </c>
      <c r="C40" s="29">
        <v>230</v>
      </c>
      <c r="D40" s="38">
        <f>IF(OR(Log_Atkinson14522[[#This Row],[Machine ]]="", Log_Atkinson14522[[#This Row],[Unit Amount]]=""), "", IFERROR(MAX(Log_Atkinson14522[[#This Row],[Unit Amount]] * Log_Atkinson14522[[#This Row],[$/Unit]], 3), ""))</f>
        <v>23</v>
      </c>
      <c r="E40" s="27" t="s">
        <v>148</v>
      </c>
      <c r="F40" s="28" t="s">
        <v>149</v>
      </c>
      <c r="G40" s="29" t="s">
        <v>25</v>
      </c>
      <c r="H40" s="30">
        <v>45996</v>
      </c>
      <c r="I40" s="28">
        <v>145</v>
      </c>
      <c r="J40" s="24" t="s">
        <v>49</v>
      </c>
      <c r="K40" s="28" t="s">
        <v>20</v>
      </c>
    </row>
    <row r="41" spans="1:11" ht="15.75">
      <c r="A41" s="36" t="s">
        <v>16</v>
      </c>
      <c r="B41" s="39">
        <f>_xlfn.XLOOKUP(Log_Atkinson14522[[#This Row],[Machine ]], PriceTable[Machine], PriceTable[$/Unit], "")</f>
        <v>0.1</v>
      </c>
      <c r="C41" s="25">
        <v>83</v>
      </c>
      <c r="D41" s="38">
        <f>IF(OR(Log_Atkinson14522[[#This Row],[Machine ]]="", Log_Atkinson14522[[#This Row],[Unit Amount]]=""), "", IFERROR(MAX(Log_Atkinson14522[[#This Row],[Unit Amount]] * Log_Atkinson14522[[#This Row],[$/Unit]], 3), ""))</f>
        <v>8.3000000000000007</v>
      </c>
      <c r="E41" s="23" t="s">
        <v>82</v>
      </c>
      <c r="F41" s="24" t="s">
        <v>150</v>
      </c>
      <c r="G41" s="25" t="s">
        <v>25</v>
      </c>
      <c r="H41" s="26">
        <v>45996</v>
      </c>
      <c r="I41" s="24">
        <v>146</v>
      </c>
      <c r="J41" s="24" t="s">
        <v>49</v>
      </c>
      <c r="K41" s="24" t="s">
        <v>20</v>
      </c>
    </row>
    <row r="42" spans="1:11" ht="15.75">
      <c r="A42" s="36" t="s">
        <v>21</v>
      </c>
      <c r="B42" s="37" t="str">
        <f>_xlfn.XLOOKUP(Log_Atkinson14522[[#This Row],[Machine ]], PriceTable[Machine], PriceTable[$/Unit], "")</f>
        <v/>
      </c>
      <c r="C42" s="29">
        <v>21</v>
      </c>
      <c r="D42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42" s="27" t="s">
        <v>151</v>
      </c>
      <c r="F42" s="28"/>
      <c r="G42" s="29" t="s">
        <v>128</v>
      </c>
      <c r="H42" s="30">
        <v>45996</v>
      </c>
      <c r="I42" s="28">
        <v>147</v>
      </c>
      <c r="J42" s="24" t="s">
        <v>23</v>
      </c>
      <c r="K42" s="28" t="s">
        <v>20</v>
      </c>
    </row>
    <row r="43" spans="1:11" ht="15.75">
      <c r="A43" s="36" t="s">
        <v>152</v>
      </c>
      <c r="B43" s="39">
        <f>_xlfn.XLOOKUP(Log_Atkinson14522[[#This Row],[Machine ]], PriceTable[Machine], PriceTable[$/Unit], "")</f>
        <v>0.1</v>
      </c>
      <c r="C43" s="25">
        <v>11</v>
      </c>
      <c r="D43" s="38">
        <f>IF(OR(Log_Atkinson14522[[#This Row],[Machine ]]="", Log_Atkinson14522[[#This Row],[Unit Amount]]=""), "", IFERROR(MAX(Log_Atkinson14522[[#This Row],[Unit Amount]] * Log_Atkinson14522[[#This Row],[$/Unit]], 3), ""))</f>
        <v>3</v>
      </c>
      <c r="E43" s="23" t="s">
        <v>86</v>
      </c>
      <c r="F43" s="24"/>
      <c r="G43" s="25" t="s">
        <v>25</v>
      </c>
      <c r="H43" s="26">
        <v>46000</v>
      </c>
      <c r="I43" s="24">
        <v>148</v>
      </c>
      <c r="J43" s="24" t="s">
        <v>23</v>
      </c>
      <c r="K43" s="24" t="s">
        <v>20</v>
      </c>
    </row>
    <row r="44" spans="1:11" ht="15.75">
      <c r="A44" s="36" t="s">
        <v>16</v>
      </c>
      <c r="B44" s="37">
        <f>_xlfn.XLOOKUP(Log_Atkinson14522[[#This Row],[Machine ]], PriceTable[Machine], PriceTable[$/Unit], "")</f>
        <v>0.1</v>
      </c>
      <c r="C44" s="29">
        <v>147</v>
      </c>
      <c r="D44" s="38">
        <f>IF(OR(Log_Atkinson14522[[#This Row],[Machine ]]="", Log_Atkinson14522[[#This Row],[Unit Amount]]=""), "", IFERROR(MAX(Log_Atkinson14522[[#This Row],[Unit Amount]] * Log_Atkinson14522[[#This Row],[$/Unit]], 3), ""))</f>
        <v>14.700000000000001</v>
      </c>
      <c r="E44" s="27" t="s">
        <v>153</v>
      </c>
      <c r="F44" s="28"/>
      <c r="G44" s="29" t="s">
        <v>139</v>
      </c>
      <c r="H44" s="30">
        <v>46002</v>
      </c>
      <c r="I44" s="28">
        <v>149</v>
      </c>
      <c r="J44" s="24" t="s">
        <v>35</v>
      </c>
      <c r="K44" s="28" t="s">
        <v>20</v>
      </c>
    </row>
    <row r="45" spans="1:11" ht="15.75">
      <c r="A45" s="36" t="s">
        <v>12</v>
      </c>
      <c r="B45" s="39">
        <f>_xlfn.XLOOKUP(Log_Atkinson14522[[#This Row],[Machine ]], PriceTable[Machine], PriceTable[$/Unit], "")</f>
        <v>0</v>
      </c>
      <c r="C45" s="25"/>
      <c r="D45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9">
        <f>_xlfn.XLOOKUP(Log_Atkinson14522[[#This Row],[Machine ]], PriceTable[Machine], PriceTable[$/Unit], "")</f>
        <v>0</v>
      </c>
      <c r="C46" s="25"/>
      <c r="D46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46" s="23"/>
      <c r="F46" s="24"/>
      <c r="G46" s="25"/>
      <c r="H46" s="26"/>
      <c r="I46" s="24"/>
      <c r="J46" s="24"/>
      <c r="K46" s="24"/>
    </row>
    <row r="47" spans="1:11" ht="15.75">
      <c r="A47" s="36" t="s">
        <v>12</v>
      </c>
      <c r="B47" s="39">
        <f>_xlfn.XLOOKUP(Log_Atkinson14522[[#This Row],[Machine ]], PriceTable[Machine], PriceTable[$/Unit], "")</f>
        <v>0</v>
      </c>
      <c r="C47" s="25"/>
      <c r="D47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9">
        <f>_xlfn.XLOOKUP(Log_Atkinson14522[[#This Row],[Machine ]], PriceTable[Machine], PriceTable[$/Unit], "")</f>
        <v>0</v>
      </c>
      <c r="C48" s="25"/>
      <c r="D48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48" s="23"/>
      <c r="F48" s="24"/>
      <c r="G48" s="25"/>
      <c r="H48" s="26"/>
      <c r="I48" s="24"/>
      <c r="J48" s="24"/>
      <c r="K48" s="24"/>
    </row>
    <row r="49" spans="1:11" ht="15.75">
      <c r="A49" s="36" t="s">
        <v>12</v>
      </c>
      <c r="B49" s="39">
        <f>_xlfn.XLOOKUP(Log_Atkinson14522[[#This Row],[Machine ]], PriceTable[Machine], PriceTable[$/Unit], "")</f>
        <v>0</v>
      </c>
      <c r="C49" s="25"/>
      <c r="D49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_xlfn.XLOOKUP(Log_Atkinson14522[[#This Row],[Machine ]], PriceTable[Machine], PriceTable[$/Unit], "")</f>
        <v>0</v>
      </c>
      <c r="C50" s="25"/>
      <c r="D50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>
      <c r="A51" s="36" t="s">
        <v>12</v>
      </c>
      <c r="B51" s="39">
        <f>_xlfn.XLOOKUP(Log_Atkinson14522[[#This Row],[Machine ]], PriceTable[Machine], PriceTable[$/Unit], "")</f>
        <v>0</v>
      </c>
      <c r="C51" s="25"/>
      <c r="D51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1" s="23"/>
      <c r="F51" s="24"/>
      <c r="G51" s="25"/>
      <c r="H51" s="26"/>
      <c r="I51" s="24"/>
      <c r="J51" s="24"/>
      <c r="K51" s="24"/>
    </row>
    <row r="52" spans="1:11" ht="15.75">
      <c r="A52" s="36" t="s">
        <v>12</v>
      </c>
      <c r="B52" s="39">
        <f>_xlfn.XLOOKUP(Log_Atkinson14522[[#This Row],[Machine ]], PriceTable[Machine], PriceTable[$/Unit], "")</f>
        <v>0</v>
      </c>
      <c r="C52" s="25"/>
      <c r="D52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2" s="23"/>
      <c r="F52" s="24"/>
      <c r="G52" s="25"/>
      <c r="H52" s="26"/>
      <c r="I52" s="24"/>
      <c r="J52" s="24"/>
      <c r="K52" s="24"/>
    </row>
    <row r="53" spans="1:11" ht="15.75">
      <c r="A53" s="36" t="s">
        <v>12</v>
      </c>
      <c r="B53" s="39">
        <f>_xlfn.XLOOKUP(Log_Atkinson14522[[#This Row],[Machine ]], PriceTable[Machine], PriceTable[$/Unit], "")</f>
        <v>0</v>
      </c>
      <c r="C53" s="25"/>
      <c r="D53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3" s="23"/>
      <c r="F53" s="24"/>
      <c r="G53" s="25"/>
      <c r="H53" s="26"/>
      <c r="I53" s="24"/>
      <c r="J53" s="24"/>
      <c r="K53" s="24"/>
    </row>
    <row r="54" spans="1:11" ht="15.75">
      <c r="A54" s="36" t="s">
        <v>12</v>
      </c>
      <c r="B54" s="39">
        <f>_xlfn.XLOOKUP(Log_Atkinson14522[[#This Row],[Machine ]], PriceTable[Machine], PriceTable[$/Unit], "")</f>
        <v>0</v>
      </c>
      <c r="C54" s="25"/>
      <c r="D54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4" s="23"/>
      <c r="F54" s="24"/>
      <c r="G54" s="25"/>
      <c r="H54" s="26"/>
      <c r="I54" s="24"/>
      <c r="J54" s="24"/>
      <c r="K54" s="24"/>
    </row>
    <row r="55" spans="1:11" ht="15.75">
      <c r="A55" s="36" t="s">
        <v>12</v>
      </c>
      <c r="B55" s="39">
        <f>_xlfn.XLOOKUP(Log_Atkinson14522[[#This Row],[Machine ]], PriceTable[Machine], PriceTable[$/Unit], "")</f>
        <v>0</v>
      </c>
      <c r="C55" s="25"/>
      <c r="D55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5" s="23"/>
      <c r="F55" s="24"/>
      <c r="G55" s="25"/>
      <c r="H55" s="26"/>
      <c r="I55" s="24"/>
      <c r="J55" s="24"/>
      <c r="K55" s="24"/>
    </row>
    <row r="56" spans="1:11" ht="15.75">
      <c r="A56" s="36" t="s">
        <v>12</v>
      </c>
      <c r="B56" s="39">
        <f>_xlfn.XLOOKUP(Log_Atkinson14522[[#This Row],[Machine ]], PriceTable[Machine], PriceTable[$/Unit], "")</f>
        <v>0</v>
      </c>
      <c r="C56" s="25"/>
      <c r="D56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6" s="23"/>
      <c r="F56" s="24"/>
      <c r="G56" s="25"/>
      <c r="H56" s="26"/>
      <c r="I56" s="24"/>
      <c r="J56" s="24"/>
      <c r="K56" s="24"/>
    </row>
    <row r="57" spans="1:11" ht="15.75">
      <c r="A57" s="36" t="s">
        <v>12</v>
      </c>
      <c r="B57" s="39">
        <f>_xlfn.XLOOKUP(Log_Atkinson14522[[#This Row],[Machine ]], PriceTable[Machine], PriceTable[$/Unit], "")</f>
        <v>0</v>
      </c>
      <c r="C57" s="25"/>
      <c r="D57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7" s="23"/>
      <c r="F57" s="24"/>
      <c r="G57" s="25"/>
      <c r="H57" s="26"/>
      <c r="I57" s="24"/>
      <c r="J57" s="24"/>
      <c r="K57" s="24"/>
    </row>
    <row r="58" spans="1:11" ht="15.75">
      <c r="A58" s="36" t="s">
        <v>12</v>
      </c>
      <c r="B58" s="39">
        <f>_xlfn.XLOOKUP(Log_Atkinson14522[[#This Row],[Machine ]], PriceTable[Machine], PriceTable[$/Unit], "")</f>
        <v>0</v>
      </c>
      <c r="C58" s="25"/>
      <c r="D58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8" s="23"/>
      <c r="F58" s="24"/>
      <c r="G58" s="25"/>
      <c r="H58" s="26"/>
      <c r="I58" s="24"/>
      <c r="J58" s="24"/>
      <c r="K58" s="24"/>
    </row>
    <row r="59" spans="1:11" ht="15.75">
      <c r="A59" s="36" t="s">
        <v>12</v>
      </c>
      <c r="B59" s="39">
        <f>_xlfn.XLOOKUP(Log_Atkinson14522[[#This Row],[Machine ]], PriceTable[Machine], PriceTable[$/Unit], "")</f>
        <v>0</v>
      </c>
      <c r="C59" s="25"/>
      <c r="D59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59" s="23"/>
      <c r="F59" s="24"/>
      <c r="G59" s="25"/>
      <c r="H59" s="26"/>
      <c r="I59" s="24"/>
      <c r="J59" s="24"/>
      <c r="K59" s="24"/>
    </row>
    <row r="60" spans="1:11" ht="15.75">
      <c r="A60" s="36" t="s">
        <v>12</v>
      </c>
      <c r="B60" s="39">
        <f>_xlfn.XLOOKUP(Log_Atkinson14522[[#This Row],[Machine ]], PriceTable[Machine], PriceTable[$/Unit], "")</f>
        <v>0</v>
      </c>
      <c r="C60" s="25"/>
      <c r="D60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_xlfn.XLOOKUP(Log_Atkinson14522[[#This Row],[Machine ]], PriceTable[Machine], PriceTable[$/Unit], "")</f>
        <v>0</v>
      </c>
      <c r="C61" s="25"/>
      <c r="D61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1" s="23"/>
      <c r="F61" s="24"/>
      <c r="G61" s="25"/>
      <c r="H61" s="26"/>
      <c r="I61" s="24"/>
      <c r="J61" s="24"/>
      <c r="K61" s="24"/>
    </row>
    <row r="62" spans="1:11" ht="15.75">
      <c r="A62" s="36" t="s">
        <v>12</v>
      </c>
      <c r="B62" s="39">
        <f>_xlfn.XLOOKUP(Log_Atkinson14522[[#This Row],[Machine ]], PriceTable[Machine], PriceTable[$/Unit], "")</f>
        <v>0</v>
      </c>
      <c r="C62" s="25"/>
      <c r="D62" s="38"/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_xlfn.XLOOKUP(Log_Atkinson14522[[#This Row],[Machine ]], PriceTable[Machine], PriceTable[$/Unit], "")</f>
        <v>0</v>
      </c>
      <c r="C63" s="25"/>
      <c r="D63" s="38"/>
      <c r="E63" s="23"/>
      <c r="F63" s="24"/>
      <c r="G63" s="25"/>
      <c r="H63" s="26"/>
      <c r="I63" s="24"/>
      <c r="J63" s="24"/>
      <c r="K63" s="24"/>
    </row>
    <row r="64" spans="1:11" ht="15.75">
      <c r="A64" s="36" t="s">
        <v>12</v>
      </c>
      <c r="B64" s="39">
        <f>_xlfn.XLOOKUP(Log_Atkinson14522[[#This Row],[Machine ]], PriceTable[Machine], PriceTable[$/Unit], "")</f>
        <v>0</v>
      </c>
      <c r="C64" s="25"/>
      <c r="D64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_xlfn.XLOOKUP(Log_Atkinson14522[[#This Row],[Machine ]], PriceTable[Machine], PriceTable[$/Unit], "")</f>
        <v>0</v>
      </c>
      <c r="C65" s="25"/>
      <c r="D65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5" s="23"/>
      <c r="F65" s="24"/>
      <c r="G65" s="25"/>
      <c r="H65" s="26"/>
      <c r="I65" s="24"/>
      <c r="J65" s="24"/>
      <c r="K65" s="24"/>
    </row>
    <row r="66" spans="1:11" ht="15.75">
      <c r="A66" s="36" t="s">
        <v>12</v>
      </c>
      <c r="B66" s="39">
        <f>_xlfn.XLOOKUP(Log_Atkinson14522[[#This Row],[Machine ]], PriceTable[Machine], PriceTable[$/Unit], "")</f>
        <v>0</v>
      </c>
      <c r="C66" s="25"/>
      <c r="D66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_xlfn.XLOOKUP(Log_Atkinson14522[[#This Row],[Machine ]], PriceTable[Machine], PriceTable[$/Unit], "")</f>
        <v>0</v>
      </c>
      <c r="C67" s="25"/>
      <c r="D67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7" s="23"/>
      <c r="F67" s="24"/>
      <c r="G67" s="25"/>
      <c r="H67" s="26"/>
      <c r="I67" s="24"/>
      <c r="J67" s="24"/>
      <c r="K67" s="24"/>
    </row>
    <row r="68" spans="1:11" ht="15.75">
      <c r="A68" s="36" t="s">
        <v>12</v>
      </c>
      <c r="B68" s="39">
        <f>_xlfn.XLOOKUP(Log_Atkinson14522[[#This Row],[Machine ]], PriceTable[Machine], PriceTable[$/Unit], "")</f>
        <v>0</v>
      </c>
      <c r="C68" s="25"/>
      <c r="D68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_xlfn.XLOOKUP(Log_Atkinson14522[[#This Row],[Machine ]], PriceTable[Machine], PriceTable[$/Unit], "")</f>
        <v>0</v>
      </c>
      <c r="C69" s="25"/>
      <c r="D69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69" s="23"/>
      <c r="F69" s="24"/>
      <c r="G69" s="25"/>
      <c r="H69" s="26"/>
      <c r="I69" s="24"/>
      <c r="J69" s="24"/>
      <c r="K69" s="24"/>
    </row>
    <row r="70" spans="1:11" ht="15.75">
      <c r="A70" s="36" t="s">
        <v>12</v>
      </c>
      <c r="B70" s="39">
        <f>_xlfn.XLOOKUP(Log_Atkinson14522[[#This Row],[Machine ]], PriceTable[Machine], PriceTable[$/Unit], "")</f>
        <v>0</v>
      </c>
      <c r="C70" s="25"/>
      <c r="D70" s="38" t="str">
        <f>IF(OR(Log_Atkinson14522[[#This Row],[Machine ]]="", Log_Atkinson14522[[#This Row],[Unit Amount]]=""), "", IFERROR(MAX(Log_Atkinson14522[[#This Row],[Unit Amount]] * Log_Atkinson14522[[#This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 customHeight="1">
      <c r="A71" s="36" t="s">
        <v>13</v>
      </c>
      <c r="B71" s="40"/>
      <c r="C71" s="25"/>
      <c r="D71" s="41"/>
      <c r="E71" s="23"/>
      <c r="F71" s="24"/>
      <c r="G71" s="25"/>
      <c r="H71" s="25"/>
      <c r="I71" s="24"/>
      <c r="J71" s="24"/>
      <c r="K71" s="56">
        <f>SUBTOTAL(109,Log_Atkinson14522[Cost])</f>
        <v>482.59999999999997</v>
      </c>
    </row>
    <row r="72" spans="1:11" ht="15.75">
      <c r="A72" s="42"/>
      <c r="B72" s="43"/>
      <c r="C72" s="44"/>
      <c r="D72" s="45"/>
      <c r="E72" s="46"/>
      <c r="F72" s="47"/>
      <c r="G72" s="44"/>
      <c r="H72" s="44"/>
      <c r="I72" s="47"/>
      <c r="J72" s="47"/>
      <c r="K72" s="47"/>
    </row>
    <row r="73" spans="1:11" ht="15.75">
      <c r="C73" s="48"/>
      <c r="E73" s="49"/>
      <c r="G73" s="49"/>
      <c r="H73" s="50"/>
    </row>
    <row r="74" spans="1:11" ht="15.75">
      <c r="C74" s="51"/>
    </row>
    <row r="75" spans="1:11" ht="15.75" customHeight="1"/>
    <row r="76" spans="1:11" ht="15.75"/>
    <row r="77" spans="1:11" ht="11.25" customHeight="1"/>
    <row r="78" spans="1:11" ht="24">
      <c r="A78" s="64" t="s">
        <v>14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.75">
      <c r="A79" s="52" t="s">
        <v>1</v>
      </c>
      <c r="B79" s="53" t="s">
        <v>2</v>
      </c>
      <c r="C79" s="53" t="s">
        <v>3</v>
      </c>
      <c r="D79" s="54" t="s">
        <v>4</v>
      </c>
      <c r="E79" s="55" t="s">
        <v>5</v>
      </c>
      <c r="F79" s="52" t="s">
        <v>6</v>
      </c>
      <c r="G79" s="55" t="s">
        <v>7</v>
      </c>
      <c r="H79" s="52" t="s">
        <v>15</v>
      </c>
      <c r="I79" s="52" t="s">
        <v>9</v>
      </c>
      <c r="J79" s="52" t="s">
        <v>10</v>
      </c>
      <c r="K79" s="52" t="s">
        <v>11</v>
      </c>
    </row>
    <row r="80" spans="1:11" ht="15.75">
      <c r="A80" s="36" t="s">
        <v>87</v>
      </c>
      <c r="B80" s="39">
        <f>_xlfn.XLOOKUP(Log_Art12323[[#This Row],[Machine ]], PriceTable[Machine], PriceTable[$/Unit], "")</f>
        <v>20</v>
      </c>
      <c r="C80" s="25">
        <v>1.75</v>
      </c>
      <c r="D80" s="38">
        <f>IF(OR(Log_Art12323[[#This Row],[Machine ]]="", Log_Art12323[[#This Row],[Unit Amount]]=""), "", IFERROR(MAX(Log_Art12323[[#This Row],[Unit Amount]] * Log_Art12323[[#This Row],[$/Unit]], 3), ""))</f>
        <v>35</v>
      </c>
      <c r="E80" s="23" t="s">
        <v>24</v>
      </c>
      <c r="F80" s="24"/>
      <c r="G80" s="25" t="s">
        <v>64</v>
      </c>
      <c r="H80" s="26">
        <v>45999</v>
      </c>
      <c r="I80" s="24">
        <v>20</v>
      </c>
      <c r="J80" s="24" t="s">
        <v>35</v>
      </c>
      <c r="K80" s="24" t="s">
        <v>20</v>
      </c>
    </row>
    <row r="81" spans="1:11" ht="15.75">
      <c r="A81" s="36" t="s">
        <v>12</v>
      </c>
      <c r="B81" s="39">
        <f>_xlfn.XLOOKUP(Log_Art12323[[#This Row],[Machine ]], PriceTable[Machine], PriceTable[$/Unit], "")</f>
        <v>0</v>
      </c>
      <c r="C81" s="29"/>
      <c r="D81" s="38" t="str">
        <f>IF(OR(Log_Art12323[[#This Row],[Machine ]]="", Log_Art12323[[#This Row],[Unit Amount]]=""), "", IFERROR(MAX(Log_Art12323[[#This Row],[Unit Amount]] * Log_Art12323[[#This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_xlfn.XLOOKUP(Log_Art12323[[#This Row],[Machine ]], PriceTable[Machine], PriceTable[$/Unit], "")</f>
        <v>0</v>
      </c>
      <c r="C82" s="25"/>
      <c r="D82" s="38" t="str">
        <f>IF(OR(Log_Art12323[[#This Row],[Machine ]]="", Log_Art12323[[#This Row],[Unit Amount]]=""), "", IFERROR(MAX(Log_Art12323[[#This Row],[Unit Amount]] * Log_Art12323[[#This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12</v>
      </c>
      <c r="B83" s="39">
        <f>_xlfn.XLOOKUP(Log_Art12323[[#This Row],[Machine ]], PriceTable[Machine], PriceTable[$/Unit], "")</f>
        <v>0</v>
      </c>
      <c r="C83" s="29"/>
      <c r="D83" s="38" t="str">
        <f>IF(OR(Log_Art12323[[#This Row],[Machine ]]="", Log_Art12323[[#This Row],[Unit Amount]]=""), "", IFERROR(MAX(Log_Art12323[[#This Row],[Unit Amount]] * Log_Art12323[[#This Row],[$/Unit]], 3), ""))</f>
        <v/>
      </c>
      <c r="E83" s="27"/>
      <c r="F83" s="28"/>
      <c r="G83" s="29"/>
      <c r="H83" s="30"/>
      <c r="I83" s="28"/>
      <c r="J83" s="24"/>
      <c r="K83" s="28"/>
    </row>
    <row r="84" spans="1:11" ht="15.75">
      <c r="A84" s="36" t="s">
        <v>12</v>
      </c>
      <c r="B84" s="39">
        <f>_xlfn.XLOOKUP(Log_Art12323[[#This Row],[Machine ]], PriceTable[Machine], PriceTable[$/Unit], "")</f>
        <v>0</v>
      </c>
      <c r="C84" s="25"/>
      <c r="D84" s="38" t="str">
        <f>IF(OR(Log_Art12323[[#This Row],[Machine ]]="", Log_Art12323[[#This Row],[Unit Amount]]=""), "", IFERROR(MAX(Log_Art12323[[#This Row],[Unit Amount]] * Log_Art12323[[#This Row],[$/Unit]], 3), ""))</f>
        <v/>
      </c>
      <c r="E84" s="23"/>
      <c r="F84" s="24"/>
      <c r="G84" s="25"/>
      <c r="H84" s="26"/>
      <c r="I84" s="24"/>
      <c r="J84" s="24"/>
      <c r="K84" s="24"/>
    </row>
    <row r="85" spans="1:11" ht="15.75">
      <c r="A85" s="36" t="s">
        <v>12</v>
      </c>
      <c r="B85" s="39">
        <f>_xlfn.XLOOKUP(Log_Art12323[[#This Row],[Machine ]], PriceTable[Machine], PriceTable[$/Unit], "")</f>
        <v>0</v>
      </c>
      <c r="C85" s="29"/>
      <c r="D85" s="38" t="str">
        <f>IF(OR(Log_Art12323[[#This Row],[Machine ]]="", Log_Art12323[[#This Row],[Unit Amount]]=""), "", IFERROR(MAX(Log_Art12323[[#This Row],[Unit Amount]] * Log_Art12323[[#This Row],[$/Unit]], 3), ""))</f>
        <v/>
      </c>
      <c r="E85" s="27"/>
      <c r="F85" s="28"/>
      <c r="G85" s="29"/>
      <c r="H85" s="30"/>
      <c r="I85" s="28"/>
      <c r="J85" s="24"/>
      <c r="K85" s="28"/>
    </row>
    <row r="86" spans="1:11" ht="15.75">
      <c r="A86" s="36" t="s">
        <v>12</v>
      </c>
      <c r="B86" s="39">
        <f>_xlfn.XLOOKUP(Log_Art12323[[#This Row],[Machine ]], PriceTable[Machine], PriceTable[$/Unit], "")</f>
        <v>0</v>
      </c>
      <c r="C86" s="25"/>
      <c r="D86" s="38" t="str">
        <f>IF(OR(Log_Art12323[[#This Row],[Machine ]]="", Log_Art12323[[#This Row],[Unit Amount]]=""), "", IFERROR(MAX(Log_Art12323[[#This Row],[Unit Amount]] * Log_Art12323[[#This Row],[$/Unit]], 3), ""))</f>
        <v/>
      </c>
      <c r="E86" s="23"/>
      <c r="F86" s="24"/>
      <c r="G86" s="25"/>
      <c r="H86" s="26"/>
      <c r="I86" s="24"/>
      <c r="J86" s="24"/>
      <c r="K86" s="24"/>
    </row>
    <row r="87" spans="1:11" ht="15.75">
      <c r="A87" s="36" t="s">
        <v>12</v>
      </c>
      <c r="B87" s="39">
        <f>_xlfn.XLOOKUP(Log_Art12323[[#This Row],[Machine ]], PriceTable[Machine], PriceTable[$/Unit], "")</f>
        <v>0</v>
      </c>
      <c r="C87" s="29"/>
      <c r="D87" s="38" t="str">
        <f>IF(OR(Log_Art12323[[#This Row],[Machine ]]="", Log_Art12323[[#This Row],[Unit Amount]]=""), "", IFERROR(MAX(Log_Art12323[[#This Row],[Unit Amount]] * Log_Art12323[[#This Row],[$/Unit]], 3), ""))</f>
        <v/>
      </c>
      <c r="E87" s="27"/>
      <c r="F87" s="28"/>
      <c r="G87" s="29"/>
      <c r="H87" s="30"/>
      <c r="I87" s="28"/>
      <c r="J87" s="24"/>
      <c r="K87" s="28"/>
    </row>
    <row r="88" spans="1:11" ht="15.75">
      <c r="A88" s="36" t="s">
        <v>12</v>
      </c>
      <c r="B88" s="39">
        <f>_xlfn.XLOOKUP(Log_Art12323[[#This Row],[Machine ]], PriceTable[Machine], PriceTable[$/Unit], "")</f>
        <v>0</v>
      </c>
      <c r="C88" s="25"/>
      <c r="D88" s="38" t="str">
        <f>IF(OR(Log_Art12323[[#This Row],[Machine ]]="", Log_Art12323[[#This Row],[Unit Amount]]=""), "", IFERROR(MAX(Log_Art12323[[#This Row],[Unit Amount]] * Log_Art12323[[#This Row],[$/Unit]], 3), ""))</f>
        <v/>
      </c>
      <c r="E88" s="23"/>
      <c r="F88" s="24"/>
      <c r="G88" s="25"/>
      <c r="H88" s="26"/>
      <c r="I88" s="24"/>
      <c r="J88" s="24"/>
      <c r="K88" s="24"/>
    </row>
    <row r="89" spans="1:11" ht="15.75">
      <c r="A89" s="36" t="s">
        <v>12</v>
      </c>
      <c r="B89" s="39">
        <f>_xlfn.XLOOKUP(Log_Art12323[[#This Row],[Machine ]], PriceTable[Machine], PriceTable[$/Unit], "")</f>
        <v>0</v>
      </c>
      <c r="C89" s="29"/>
      <c r="D89" s="38" t="str">
        <f>IF(OR(Log_Art12323[[#This Row],[Machine ]]="", Log_Art12323[[#This Row],[Unit Amount]]=""), "", IFERROR(MAX(Log_Art12323[[#This Row],[Unit Amount]] * Log_Art12323[[#This Row],[$/Unit]], 3), ""))</f>
        <v/>
      </c>
      <c r="E89" s="27"/>
      <c r="F89" s="28"/>
      <c r="G89" s="29"/>
      <c r="H89" s="30"/>
      <c r="I89" s="28"/>
      <c r="J89" s="24"/>
      <c r="K89" s="28"/>
    </row>
    <row r="90" spans="1:11" ht="15.75">
      <c r="A90" s="36" t="s">
        <v>12</v>
      </c>
      <c r="B90" s="39">
        <f>_xlfn.XLOOKUP(Log_Art12323[[#This Row],[Machine ]], PriceTable[Machine], PriceTable[$/Unit], "")</f>
        <v>0</v>
      </c>
      <c r="C90" s="25"/>
      <c r="D90" s="38" t="str">
        <f>IF(OR(Log_Art12323[[#This Row],[Machine ]]="", Log_Art12323[[#This Row],[Unit Amount]]=""), "", IFERROR(MAX(Log_Art12323[[#This Row],[Unit Amount]] * Log_Art12323[[#This Row],[$/Unit]], 3), ""))</f>
        <v/>
      </c>
      <c r="E90" s="23"/>
      <c r="F90" s="24"/>
      <c r="G90" s="25"/>
      <c r="H90" s="26"/>
      <c r="I90" s="24"/>
      <c r="J90" s="24"/>
      <c r="K90" s="24"/>
    </row>
    <row r="91" spans="1:11" ht="15.75">
      <c r="A91" s="36" t="s">
        <v>12</v>
      </c>
      <c r="B91" s="39">
        <f>_xlfn.XLOOKUP(Log_Art12323[[#This Row],[Machine ]], PriceTable[Machine], PriceTable[$/Unit], "")</f>
        <v>0</v>
      </c>
      <c r="C91" s="29"/>
      <c r="D91" s="38" t="str">
        <f>IF(OR(Log_Art12323[[#This Row],[Machine ]]="", Log_Art12323[[#This Row],[Unit Amount]]=""), "", IFERROR(MAX(Log_Art12323[[#This Row],[Unit Amount]] * Log_Art12323[[#This Row],[$/Unit]], 3), ""))</f>
        <v/>
      </c>
      <c r="E91" s="27"/>
      <c r="F91" s="28"/>
      <c r="G91" s="29"/>
      <c r="H91" s="30"/>
      <c r="I91" s="28"/>
      <c r="J91" s="24"/>
      <c r="K91" s="28"/>
    </row>
    <row r="92" spans="1:11" ht="15.75">
      <c r="A92" s="36" t="s">
        <v>12</v>
      </c>
      <c r="B92" s="39">
        <f>_xlfn.XLOOKUP(Log_Art12323[[#This Row],[Machine ]], PriceTable[Machine], PriceTable[$/Unit], "")</f>
        <v>0</v>
      </c>
      <c r="C92" s="25"/>
      <c r="D92" s="38" t="str">
        <f>IF(OR(Log_Art12323[[#This Row],[Machine ]]="", Log_Art12323[[#This Row],[Unit Amount]]=""), "", IFERROR(MAX(Log_Art12323[[#This Row],[Unit Amount]] * Log_Art12323[[#This Row],[$/Unit]], 3), ""))</f>
        <v/>
      </c>
      <c r="E92" s="23"/>
      <c r="F92" s="24"/>
      <c r="G92" s="25"/>
      <c r="H92" s="26"/>
      <c r="I92" s="24"/>
      <c r="J92" s="24"/>
      <c r="K92" s="24"/>
    </row>
    <row r="93" spans="1:11" ht="15.75">
      <c r="A93" s="36" t="s">
        <v>12</v>
      </c>
      <c r="B93" s="39">
        <f>_xlfn.XLOOKUP(Log_Art12323[[#This Row],[Machine ]], PriceTable[Machine], PriceTable[$/Unit], "")</f>
        <v>0</v>
      </c>
      <c r="C93" s="29"/>
      <c r="D93" s="38" t="str">
        <f>IF(OR(Log_Art12323[[#This Row],[Machine ]]="", Log_Art12323[[#This Row],[Unit Amount]]=""), "", IFERROR(MAX(Log_Art12323[[#This Row],[Unit Amount]] * Log_Art12323[[#This Row],[$/Unit]], 3), ""))</f>
        <v/>
      </c>
      <c r="E93" s="27"/>
      <c r="F93" s="28"/>
      <c r="G93" s="29"/>
      <c r="H93" s="30"/>
      <c r="I93" s="28"/>
      <c r="J93" s="24"/>
      <c r="K93" s="28"/>
    </row>
    <row r="94" spans="1:11" ht="15.75">
      <c r="A94" s="36" t="s">
        <v>12</v>
      </c>
      <c r="B94" s="39">
        <f>_xlfn.XLOOKUP(Log_Art12323[[#This Row],[Machine ]], PriceTable[Machine], PriceTable[$/Unit], "")</f>
        <v>0</v>
      </c>
      <c r="C94" s="25"/>
      <c r="D94" s="38" t="str">
        <f>IF(OR(Log_Art12323[[#This Row],[Machine ]]="", Log_Art12323[[#This Row],[Unit Amount]]=""), "", IFERROR(MAX(Log_Art12323[[#This Row],[Unit Amount]] * Log_Art12323[[#This Row],[$/Unit]], 3), ""))</f>
        <v/>
      </c>
      <c r="E94" s="23"/>
      <c r="F94" s="24"/>
      <c r="G94" s="25"/>
      <c r="H94" s="26"/>
      <c r="I94" s="24"/>
      <c r="J94" s="24"/>
      <c r="K94" s="24"/>
    </row>
    <row r="95" spans="1:11" ht="15.75">
      <c r="A95" s="36" t="s">
        <v>12</v>
      </c>
      <c r="B95" s="39">
        <f>_xlfn.XLOOKUP(Log_Art12323[[#This Row],[Machine ]], PriceTable[Machine], PriceTable[$/Unit], "")</f>
        <v>0</v>
      </c>
      <c r="C95" s="29"/>
      <c r="D95" s="38" t="str">
        <f>IF(OR(Log_Art12323[[#This Row],[Machine ]]="", Log_Art12323[[#This Row],[Unit Amount]]=""), "", IFERROR(MAX(Log_Art12323[[#This Row],[Unit Amount]] * Log_Art12323[[#This Row],[$/Unit]], 3), ""))</f>
        <v/>
      </c>
      <c r="E95" s="27"/>
      <c r="F95" s="28"/>
      <c r="G95" s="29"/>
      <c r="H95" s="30"/>
      <c r="I95" s="28"/>
      <c r="J95" s="24"/>
      <c r="K95" s="28"/>
    </row>
    <row r="96" spans="1:11" ht="15.75">
      <c r="A96" s="36" t="s">
        <v>12</v>
      </c>
      <c r="B96" s="39">
        <f>_xlfn.XLOOKUP(Log_Art12323[[#This Row],[Machine ]], PriceTable[Machine], PriceTable[$/Unit], "")</f>
        <v>0</v>
      </c>
      <c r="C96" s="25"/>
      <c r="D96" s="38" t="str">
        <f>IF(OR(Log_Art12323[[#This Row],[Machine ]]="", Log_Art12323[[#This Row],[Unit Amount]]=""), "", IFERROR(MAX(Log_Art12323[[#This Row],[Unit Amount]] * Log_Art12323[[#This Row],[$/Unit]], 3), ""))</f>
        <v/>
      </c>
      <c r="E96" s="23"/>
      <c r="F96" s="24"/>
      <c r="G96" s="25"/>
      <c r="H96" s="26"/>
      <c r="I96" s="24"/>
      <c r="J96" s="24"/>
      <c r="K96" s="24"/>
    </row>
    <row r="97" spans="1:11" ht="15.75">
      <c r="A97" s="36" t="s">
        <v>12</v>
      </c>
      <c r="B97" s="39">
        <f>_xlfn.XLOOKUP(Log_Art12323[[#This Row],[Machine ]], PriceTable[Machine], PriceTable[$/Unit], "")</f>
        <v>0</v>
      </c>
      <c r="C97" s="29"/>
      <c r="D97" s="38" t="str">
        <f>IF(OR(Log_Art12323[[#This Row],[Machine ]]="", Log_Art12323[[#This Row],[Unit Amount]]=""), "", IFERROR(MAX(Log_Art12323[[#This Row],[Unit Amount]] * Log_Art12323[[#This Row],[$/Unit]], 3), ""))</f>
        <v/>
      </c>
      <c r="E97" s="27"/>
      <c r="F97" s="28"/>
      <c r="G97" s="29"/>
      <c r="H97" s="30"/>
      <c r="I97" s="28"/>
      <c r="J97" s="24"/>
      <c r="K97" s="28"/>
    </row>
    <row r="98" spans="1:11" ht="15.75">
      <c r="A98" s="36" t="s">
        <v>12</v>
      </c>
      <c r="B98" s="39">
        <f>_xlfn.XLOOKUP(Log_Art12323[[#This Row],[Machine ]], PriceTable[Machine], PriceTable[$/Unit], "")</f>
        <v>0</v>
      </c>
      <c r="C98" s="25"/>
      <c r="D98" s="38" t="str">
        <f>IF(OR(Log_Art12323[[#This Row],[Machine ]]="", Log_Art12323[[#This Row],[Unit Amount]]=""), "", IFERROR(MAX(Log_Art12323[[#This Row],[Unit Amount]] * Log_Art12323[[#This Row],[$/Unit]], 3), ""))</f>
        <v/>
      </c>
      <c r="E98" s="23"/>
      <c r="F98" s="24"/>
      <c r="G98" s="25"/>
      <c r="H98" s="26"/>
      <c r="I98" s="24"/>
      <c r="J98" s="24"/>
      <c r="K98" s="24"/>
    </row>
    <row r="99" spans="1:11" ht="15.75">
      <c r="A99" s="36" t="s">
        <v>12</v>
      </c>
      <c r="B99" s="39">
        <f>_xlfn.XLOOKUP(Log_Art12323[[#This Row],[Machine ]], PriceTable[Machine], PriceTable[$/Unit], "")</f>
        <v>0</v>
      </c>
      <c r="C99" s="29"/>
      <c r="D99" s="38" t="str">
        <f>IF(OR(Log_Art12323[[#This Row],[Machine ]]="", Log_Art12323[[#This Row],[Unit Amount]]=""), "", IFERROR(MAX(Log_Art12323[[#This Row],[Unit Amount]] * Log_Art12323[[#This Row],[$/Unit]], 3), ""))</f>
        <v/>
      </c>
      <c r="E99" s="27"/>
      <c r="F99" s="28"/>
      <c r="G99" s="29"/>
      <c r="H99" s="30"/>
      <c r="I99" s="28"/>
      <c r="J99" s="24"/>
      <c r="K99" s="28"/>
    </row>
    <row r="100" spans="1:11" ht="15.75">
      <c r="A100" s="36" t="s">
        <v>12</v>
      </c>
      <c r="B100" s="39">
        <f>_xlfn.XLOOKUP(Log_Art12323[[#This Row],[Machine ]], PriceTable[Machine], PriceTable[$/Unit], "")</f>
        <v>0</v>
      </c>
      <c r="C100" s="25"/>
      <c r="D100" s="38" t="str">
        <f>IF(OR(Log_Art12323[[#This Row],[Machine ]]="", Log_Art12323[[#This Row],[Unit Amount]]=""), "", IFERROR(MAX(Log_Art12323[[#This Row],[Unit Amount]] * Log_Art12323[[#This Row],[$/Unit]], 3), ""))</f>
        <v/>
      </c>
      <c r="E100" s="23"/>
      <c r="F100" s="24"/>
      <c r="G100" s="25"/>
      <c r="H100" s="26"/>
      <c r="I100" s="24"/>
      <c r="J100" s="24"/>
      <c r="K100" s="24"/>
    </row>
    <row r="101" spans="1:11" ht="15.75">
      <c r="A101" s="36" t="s">
        <v>12</v>
      </c>
      <c r="B101" s="39">
        <f>_xlfn.XLOOKUP(Log_Art12323[[#This Row],[Machine ]], PriceTable[Machine], PriceTable[$/Unit], "")</f>
        <v>0</v>
      </c>
      <c r="C101" s="29"/>
      <c r="D101" s="38" t="str">
        <f>IF(OR(Log_Art12323[[#This Row],[Machine ]]="", Log_Art12323[[#This Row],[Unit Amount]]=""), "", IFERROR(MAX(Log_Art12323[[#This Row],[Unit Amount]] * Log_Art12323[[#This Row],[$/Unit]], 3), ""))</f>
        <v/>
      </c>
      <c r="E101" s="27"/>
      <c r="F101" s="28"/>
      <c r="G101" s="29"/>
      <c r="H101" s="30"/>
      <c r="I101" s="28"/>
      <c r="J101" s="24"/>
      <c r="K101" s="28"/>
    </row>
    <row r="102" spans="1:11" ht="15.75">
      <c r="A102" s="36" t="s">
        <v>12</v>
      </c>
      <c r="B102" s="39">
        <f>_xlfn.XLOOKUP(Log_Art12323[[#This Row],[Machine ]], PriceTable[Machine], PriceTable[$/Unit], "")</f>
        <v>0</v>
      </c>
      <c r="C102" s="25"/>
      <c r="D102" s="38" t="str">
        <f>IF(OR(Log_Art12323[[#This Row],[Machine ]]="", Log_Art12323[[#This Row],[Unit Amount]]=""), "", IFERROR(MAX(Log_Art12323[[#This Row],[Unit Amount]] * Log_Art12323[[#This Row],[$/Unit]], 3), ""))</f>
        <v/>
      </c>
      <c r="E102" s="23"/>
      <c r="F102" s="24"/>
      <c r="G102" s="25"/>
      <c r="H102" s="26"/>
      <c r="I102" s="24"/>
      <c r="J102" s="24"/>
      <c r="K102" s="24"/>
    </row>
    <row r="103" spans="1:11" ht="15.75">
      <c r="A103" s="36" t="s">
        <v>13</v>
      </c>
      <c r="B103" s="40"/>
      <c r="C103" s="25"/>
      <c r="D103" s="41"/>
      <c r="E103" s="23"/>
      <c r="F103" s="24"/>
      <c r="G103" s="25"/>
      <c r="H103" s="25"/>
      <c r="I103" s="24"/>
      <c r="J103" s="24"/>
      <c r="K103" s="56">
        <f>SUBTOTAL(109,Log_Art12323[Cost])</f>
        <v>35</v>
      </c>
    </row>
  </sheetData>
  <sheetProtection sheet="1" objects="1" scenarios="1"/>
  <protectedRanges>
    <protectedRange sqref="A2:A70" name="Machine"/>
    <protectedRange sqref="C2:C70" name="Unit Amount"/>
    <protectedRange sqref="E2:K70" name="Payer to Status"/>
    <protectedRange sqref="F1:F1048576" name="Notes"/>
  </protectedRanges>
  <mergeCells count="2">
    <mergeCell ref="A1:K1"/>
    <mergeCell ref="A78:K78"/>
  </mergeCells>
  <conditionalFormatting sqref="A1 H80:K102 H3:K70">
    <cfRule type="containsText" dxfId="599" priority="12" operator="containsText" text="Select Machine">
      <formula>NOT(ISERROR(SEARCH("Select Machine",A1)))</formula>
    </cfRule>
  </conditionalFormatting>
  <conditionalFormatting sqref="A3:A70 C3:C70 E3:F70">
    <cfRule type="containsText" dxfId="598" priority="7" operator="containsText" text="Select Machine">
      <formula>NOT(ISERROR(SEARCH("Select Machine",A3)))</formula>
    </cfRule>
  </conditionalFormatting>
  <conditionalFormatting sqref="A3:A70 G3:G70">
    <cfRule type="cellIs" dxfId="597" priority="8" operator="equal">
      <formula>"Select Machine"</formula>
    </cfRule>
  </conditionalFormatting>
  <conditionalFormatting sqref="A80:A102">
    <cfRule type="containsText" dxfId="596" priority="4" operator="containsText" text="Select Machine">
      <formula>NOT(ISERROR(SEARCH("Select Machine",A80)))</formula>
    </cfRule>
    <cfRule type="cellIs" dxfId="595" priority="5" operator="equal">
      <formula>"Select Machine"</formula>
    </cfRule>
  </conditionalFormatting>
  <conditionalFormatting sqref="C80:C102 E80:F102">
    <cfRule type="containsText" dxfId="594" priority="1" operator="containsText" text="Select Machine">
      <formula>NOT(ISERROR(SEARCH("Select Machine",C80)))</formula>
    </cfRule>
  </conditionalFormatting>
  <conditionalFormatting sqref="G3:G70">
    <cfRule type="containsText" dxfId="593" priority="9" operator="containsText" text="Select Machine">
      <formula>NOT(ISERROR(SEARCH("Select Machine",G3)))</formula>
    </cfRule>
  </conditionalFormatting>
  <conditionalFormatting sqref="G80:G102">
    <cfRule type="cellIs" dxfId="592" priority="2" operator="equal">
      <formula>"Select Machine"</formula>
    </cfRule>
    <cfRule type="containsText" dxfId="591" priority="3" operator="containsText" text="Select Machine">
      <formula>NOT(ISERROR(SEARCH("Select Machine",G80)))</formula>
    </cfRule>
  </conditionalFormatting>
  <conditionalFormatting sqref="K104:K105 A105:J105 A106:K1048576">
    <cfRule type="containsText" dxfId="590" priority="10" operator="containsText" text="Select Machine">
      <formula>NOT(ISERROR(SEARCH("Select Machine",A104)))</formula>
    </cfRule>
  </conditionalFormatting>
  <conditionalFormatting sqref="L1:XFD1048576 A2:K2 A73:K77 A78 A79:K79">
    <cfRule type="containsText" dxfId="589" priority="11" operator="containsText" text="Select Machine">
      <formula>NOT(ISERROR(SEARCH("Select Machine",A1)))</formula>
    </cfRule>
  </conditionalFormatting>
  <conditionalFormatting sqref="L78:XFD78">
    <cfRule type="cellIs" dxfId="588" priority="13" operator="equal">
      <formula>"Select Machine"</formula>
    </cfRule>
  </conditionalFormatting>
  <dataValidations count="10">
    <dataValidation type="list" allowBlank="1" showInputMessage="1" showErrorMessage="1" sqref="J80:J102 J3:J70" xr:uid="{40EE483C-EBD8-4F88-A452-709A158CB089}">
      <formula1>Staff</formula1>
    </dataValidation>
    <dataValidation type="list" allowBlank="1" showInputMessage="1" showErrorMessage="1" sqref="A80:A102 A2:A70" xr:uid="{2205984F-FD22-4456-8518-42F295E6728D}">
      <formula1>MachineList</formula1>
    </dataValidation>
    <dataValidation type="list" allowBlank="1" showInputMessage="1" showErrorMessage="1" sqref="K81" xr:uid="{E410AEED-8E2B-4AEE-ADDF-FBF50478C22C}">
      <formula1>"Conrad,Caroline,Calcea,Cooper,Quinton,Kiran,Lacie,Mahi,Rohan,Jacob,Madison"</formula1>
    </dataValidation>
    <dataValidation allowBlank="1" showInputMessage="1" showErrorMessage="1" sqref="F105:F1048576 F1:F2 F73:F79" xr:uid="{B79C7A18-62E3-4BD3-9F55-0E42B057F8BD}"/>
    <dataValidation type="list" allowBlank="1" showInputMessage="1" showErrorMessage="1" sqref="J73" xr:uid="{EFE0F4CE-AC04-4904-8B2D-7336A23B292A}">
      <formula1>"Conrad,Spencer,Kiran,Jack Wayne,Morgan"</formula1>
    </dataValidation>
    <dataValidation type="list" allowBlank="1" showInputMessage="1" showErrorMessage="1" sqref="A73 A105" xr:uid="{BF521293-DFBE-4D8A-9D87-3A6139B48494}">
      <formula1>"Prusa,Ultimaker S5,Ultimaker 2+,Raise3D Pro 2 Plus,Markforged Onyx,Form 2, Form 2 Specialty,Plasma,Forest CNC"</formula1>
    </dataValidation>
    <dataValidation type="list" allowBlank="1" showInputMessage="1" showErrorMessage="1" sqref="A79" xr:uid="{5B90FB8C-8A4B-43F6-B6BC-E46A0254FEF8}">
      <formula1>"Prusa,Raise3D Pro 2 Plus,Ultimaker S5,Ultimaker 2+,Markforged Onyx,Form 2,Form 2 Specialty"</formula1>
    </dataValidation>
    <dataValidation type="list" allowBlank="1" showInputMessage="1" showErrorMessage="1" sqref="K73 K80:K102 K3:K70" xr:uid="{83C31431-6D44-4B6D-ABB6-9331649E28AA}">
      <formula1>"Open,Closed"</formula1>
    </dataValidation>
    <dataValidation type="whole" allowBlank="1" showInputMessage="1" showErrorMessage="1" sqref="I105 I73 I80:I102 I3:I70" xr:uid="{473F53E4-7CDC-4A5C-A266-2EC54793BF05}">
      <formula1>1</formula1>
      <formula2>99999999999</formula2>
    </dataValidation>
    <dataValidation type="custom" allowBlank="1" showInputMessage="1" showErrorMessage="1" sqref="F80:F102 F3:F70" xr:uid="{BCAD1007-0AE1-4801-9629-7A7073AA3CA5}">
      <formula1>1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F12E-BDBD-4FD8-993C-C4C3D9332AE5}">
  <dimension ref="A1:K83"/>
  <sheetViews>
    <sheetView topLeftCell="N5" zoomScaleNormal="100" workbookViewId="0">
      <selection activeCell="G24" sqref="G24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33.28515625" style="9" bestFit="1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_xlfn.XLOOKUP(Log_Atkinson14524[[#This Row],[Machine ]], PriceTable[Machine], PriceTable[$/Unit], "")</f>
        <v>0.1</v>
      </c>
      <c r="C3" s="25">
        <v>140</v>
      </c>
      <c r="D3" s="38">
        <f>IF(OR(Log_Atkinson14524[[#This Row],[Machine ]]="", Log_Atkinson14524[[#This Row],[Unit Amount]]=""), "", IFERROR(MAX(Log_Atkinson14524[[#This Row],[Unit Amount]] * Log_Atkinson14524[[#This Row],[$/Unit]], 3), ""))</f>
        <v>14</v>
      </c>
      <c r="E3" s="23" t="s">
        <v>154</v>
      </c>
      <c r="F3" s="24"/>
      <c r="G3" s="25" t="s">
        <v>64</v>
      </c>
      <c r="H3" s="26">
        <v>46036</v>
      </c>
      <c r="I3" s="24">
        <v>150</v>
      </c>
      <c r="J3" s="24" t="s">
        <v>30</v>
      </c>
      <c r="K3" s="24" t="s">
        <v>20</v>
      </c>
    </row>
    <row r="4" spans="1:11" ht="15.75">
      <c r="A4" s="36" t="s">
        <v>155</v>
      </c>
      <c r="B4" s="37">
        <f>_xlfn.XLOOKUP(Log_Atkinson14524[[#This Row],[Machine ]], PriceTable[Machine], PriceTable[$/Unit], "")</f>
        <v>0.3</v>
      </c>
      <c r="C4" s="29">
        <v>29</v>
      </c>
      <c r="D4" s="38">
        <v>5.8</v>
      </c>
      <c r="E4" s="27" t="s">
        <v>22</v>
      </c>
      <c r="F4" s="24"/>
      <c r="G4" s="29" t="s">
        <v>64</v>
      </c>
      <c r="H4" s="30">
        <v>46038</v>
      </c>
      <c r="I4" s="28">
        <v>151</v>
      </c>
      <c r="J4" s="24" t="s">
        <v>156</v>
      </c>
      <c r="K4" s="28" t="s">
        <v>20</v>
      </c>
    </row>
    <row r="5" spans="1:11" ht="15.75">
      <c r="A5" s="36" t="s">
        <v>16</v>
      </c>
      <c r="B5" s="39">
        <f>_xlfn.XLOOKUP(Log_Atkinson14524[[#This Row],[Machine ]], PriceTable[Machine], PriceTable[$/Unit], "")</f>
        <v>0.1</v>
      </c>
      <c r="C5" s="25">
        <v>564</v>
      </c>
      <c r="D5" s="38">
        <v>16.920000000000002</v>
      </c>
      <c r="E5" s="23" t="s">
        <v>157</v>
      </c>
      <c r="F5" s="24" t="s">
        <v>158</v>
      </c>
      <c r="G5" s="25" t="s">
        <v>159</v>
      </c>
      <c r="H5" s="26">
        <v>46043</v>
      </c>
      <c r="I5" s="24">
        <v>152</v>
      </c>
      <c r="J5" s="24" t="s">
        <v>23</v>
      </c>
      <c r="K5" s="24" t="s">
        <v>20</v>
      </c>
    </row>
    <row r="6" spans="1:11" ht="15.75">
      <c r="A6" s="36" t="s">
        <v>16</v>
      </c>
      <c r="B6" s="37">
        <f>_xlfn.XLOOKUP(Log_Atkinson14524[[#This Row],[Machine ]], PriceTable[Machine], PriceTable[$/Unit], "")</f>
        <v>0.1</v>
      </c>
      <c r="C6" s="29">
        <v>98</v>
      </c>
      <c r="D6" s="38">
        <v>3</v>
      </c>
      <c r="E6" s="27" t="s">
        <v>157</v>
      </c>
      <c r="F6" s="24" t="s">
        <v>158</v>
      </c>
      <c r="G6" s="29" t="s">
        <v>159</v>
      </c>
      <c r="H6" s="30">
        <v>46043</v>
      </c>
      <c r="I6" s="28">
        <v>153</v>
      </c>
      <c r="J6" s="24" t="s">
        <v>23</v>
      </c>
      <c r="K6" s="28" t="s">
        <v>20</v>
      </c>
    </row>
    <row r="7" spans="1:11" ht="15.75">
      <c r="A7" s="36" t="s">
        <v>16</v>
      </c>
      <c r="B7" s="39">
        <f>_xlfn.XLOOKUP(Log_Atkinson14524[[#This Row],[Machine ]], PriceTable[Machine], PriceTable[$/Unit], "")</f>
        <v>0.1</v>
      </c>
      <c r="C7" s="25">
        <v>656</v>
      </c>
      <c r="D7" s="38">
        <v>19.68</v>
      </c>
      <c r="E7" s="23" t="s">
        <v>97</v>
      </c>
      <c r="F7" s="24" t="s">
        <v>158</v>
      </c>
      <c r="G7" s="25" t="s">
        <v>64</v>
      </c>
      <c r="H7" s="26">
        <v>46045</v>
      </c>
      <c r="I7" s="24">
        <v>154</v>
      </c>
      <c r="J7" s="24" t="s">
        <v>45</v>
      </c>
      <c r="K7" s="24" t="s">
        <v>20</v>
      </c>
    </row>
    <row r="8" spans="1:11" ht="15.75">
      <c r="A8" s="36" t="s">
        <v>155</v>
      </c>
      <c r="B8" s="37">
        <f>_xlfn.XLOOKUP(Log_Atkinson14524[[#This Row],[Machine ]], PriceTable[Machine], PriceTable[$/Unit], "")</f>
        <v>0.3</v>
      </c>
      <c r="C8" s="29">
        <v>28</v>
      </c>
      <c r="D8" s="38">
        <v>5.6</v>
      </c>
      <c r="E8" s="27" t="s">
        <v>22</v>
      </c>
      <c r="F8" s="24"/>
      <c r="G8" s="29" t="s">
        <v>64</v>
      </c>
      <c r="H8" s="30">
        <v>46045</v>
      </c>
      <c r="I8" s="28">
        <v>155</v>
      </c>
      <c r="J8" s="24" t="s">
        <v>45</v>
      </c>
      <c r="K8" s="28" t="s">
        <v>20</v>
      </c>
    </row>
    <row r="9" spans="1:11" ht="15.75">
      <c r="A9" s="36" t="s">
        <v>16</v>
      </c>
      <c r="B9" s="39">
        <f>_xlfn.XLOOKUP(Log_Atkinson14524[[#This Row],[Machine ]], PriceTable[Machine], PriceTable[$/Unit], "")</f>
        <v>0.1</v>
      </c>
      <c r="C9" s="25">
        <v>359</v>
      </c>
      <c r="D9" s="38">
        <v>10.77</v>
      </c>
      <c r="E9" s="23" t="s">
        <v>97</v>
      </c>
      <c r="F9" s="24" t="s">
        <v>160</v>
      </c>
      <c r="G9" s="25" t="s">
        <v>161</v>
      </c>
      <c r="H9" s="26">
        <v>46049</v>
      </c>
      <c r="I9" s="24">
        <v>156</v>
      </c>
      <c r="J9" s="24" t="s">
        <v>30</v>
      </c>
      <c r="K9" s="24" t="s">
        <v>20</v>
      </c>
    </row>
    <row r="10" spans="1:11" ht="15.75">
      <c r="A10" s="36" t="s">
        <v>16</v>
      </c>
      <c r="B10" s="37">
        <f>_xlfn.XLOOKUP(Log_Atkinson14524[[#This Row],[Machine ]], PriceTable[Machine], PriceTable[$/Unit], "")</f>
        <v>0.1</v>
      </c>
      <c r="C10" s="29">
        <v>575</v>
      </c>
      <c r="D10" s="38">
        <f>IF(OR(Log_Atkinson14524[[#This Row],[Machine ]]="", Log_Atkinson14524[[#This Row],[Unit Amount]]=""), "", IFERROR(MAX(Log_Atkinson14524[[#This Row],[Unit Amount]] * Log_Atkinson14524[[#This Row],[$/Unit]], 3), ""))</f>
        <v>57.5</v>
      </c>
      <c r="E10" s="27" t="s">
        <v>92</v>
      </c>
      <c r="F10" s="24"/>
      <c r="G10" s="29" t="s">
        <v>162</v>
      </c>
      <c r="H10" s="30">
        <v>46050</v>
      </c>
      <c r="I10" s="28">
        <v>157</v>
      </c>
      <c r="J10" s="24" t="s">
        <v>156</v>
      </c>
      <c r="K10" s="28" t="s">
        <v>20</v>
      </c>
    </row>
    <row r="11" spans="1:11" ht="15.75">
      <c r="A11" s="36" t="s">
        <v>16</v>
      </c>
      <c r="B11" s="39">
        <f>_xlfn.XLOOKUP(Log_Atkinson14524[[#This Row],[Machine ]], PriceTable[Machine], PriceTable[$/Unit], "")</f>
        <v>0.1</v>
      </c>
      <c r="C11" s="25">
        <v>30</v>
      </c>
      <c r="D11" s="38">
        <v>0.1</v>
      </c>
      <c r="E11" s="23" t="s">
        <v>97</v>
      </c>
      <c r="F11" s="24" t="s">
        <v>160</v>
      </c>
      <c r="G11" s="25" t="s">
        <v>159</v>
      </c>
      <c r="H11" s="26">
        <v>46050</v>
      </c>
      <c r="I11" s="24">
        <v>158</v>
      </c>
      <c r="J11" s="24" t="s">
        <v>156</v>
      </c>
      <c r="K11" s="24" t="s">
        <v>20</v>
      </c>
    </row>
    <row r="12" spans="1:11" ht="15.75">
      <c r="A12" s="36" t="s">
        <v>16</v>
      </c>
      <c r="B12" s="37">
        <f>_xlfn.XLOOKUP(Log_Atkinson14524[[#This Row],[Machine ]], PriceTable[Machine], PriceTable[$/Unit], "")</f>
        <v>0.1</v>
      </c>
      <c r="C12" s="29">
        <v>633</v>
      </c>
      <c r="D12" s="38">
        <v>18.989999999999998</v>
      </c>
      <c r="E12" s="27" t="s">
        <v>113</v>
      </c>
      <c r="F12" s="24" t="s">
        <v>160</v>
      </c>
      <c r="G12" s="25" t="s">
        <v>163</v>
      </c>
      <c r="H12" s="26">
        <v>46051</v>
      </c>
      <c r="I12" s="28">
        <v>159</v>
      </c>
      <c r="J12" s="24" t="s">
        <v>164</v>
      </c>
      <c r="K12" s="28" t="s">
        <v>20</v>
      </c>
    </row>
    <row r="13" spans="1:11" ht="15.75">
      <c r="A13" s="36" t="s">
        <v>12</v>
      </c>
      <c r="B13" s="39">
        <f>_xlfn.XLOOKUP(Log_Atkinson14524[[#This Row],[Machine ]], PriceTable[Machine], PriceTable[$/Unit], "")</f>
        <v>0</v>
      </c>
      <c r="C13" s="25"/>
      <c r="D13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3" s="23"/>
      <c r="F13" s="24"/>
      <c r="G13" s="25"/>
      <c r="H13" s="26"/>
      <c r="I13" s="24"/>
      <c r="J13" s="24"/>
      <c r="K13" s="24"/>
    </row>
    <row r="14" spans="1:11" ht="15.75">
      <c r="A14" s="36" t="s">
        <v>12</v>
      </c>
      <c r="B14" s="39">
        <f>_xlfn.XLOOKUP(Log_Atkinson14524[[#This Row],[Machine ]], PriceTable[Machine], PriceTable[$/Unit], "")</f>
        <v>0</v>
      </c>
      <c r="C14" s="25"/>
      <c r="D14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4" s="23"/>
      <c r="F14" s="24"/>
      <c r="G14" s="25"/>
      <c r="H14" s="26"/>
      <c r="I14" s="24"/>
      <c r="J14" s="24"/>
      <c r="K14" s="24"/>
    </row>
    <row r="15" spans="1:11" ht="15.75">
      <c r="A15" s="36" t="s">
        <v>12</v>
      </c>
      <c r="B15" s="39">
        <f>_xlfn.XLOOKUP(Log_Atkinson14524[[#This Row],[Machine ]], PriceTable[Machine], PriceTable[$/Unit], "")</f>
        <v>0</v>
      </c>
      <c r="C15" s="25"/>
      <c r="D15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5" s="23"/>
      <c r="F15" s="24"/>
      <c r="G15" s="25"/>
      <c r="H15" s="26"/>
      <c r="I15" s="24"/>
      <c r="J15" s="24"/>
      <c r="K15" s="24"/>
    </row>
    <row r="16" spans="1:11" ht="15.75">
      <c r="A16" s="36" t="s">
        <v>12</v>
      </c>
      <c r="B16" s="39">
        <f>_xlfn.XLOOKUP(Log_Atkinson14524[[#This Row],[Machine ]], PriceTable[Machine], PriceTable[$/Unit], "")</f>
        <v>0</v>
      </c>
      <c r="C16" s="25"/>
      <c r="D16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6" s="23"/>
      <c r="F16" s="24"/>
      <c r="G16" s="25"/>
      <c r="H16" s="26"/>
      <c r="I16" s="24"/>
      <c r="J16" s="24"/>
      <c r="K16" s="24"/>
    </row>
    <row r="17" spans="1:11" ht="15.75">
      <c r="A17" s="36" t="s">
        <v>12</v>
      </c>
      <c r="B17" s="39">
        <f>_xlfn.XLOOKUP(Log_Atkinson14524[[#This Row],[Machine ]], PriceTable[Machine], PriceTable[$/Unit], "")</f>
        <v>0</v>
      </c>
      <c r="C17" s="25"/>
      <c r="D17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9">
        <f>_xlfn.XLOOKUP(Log_Atkinson14524[[#This Row],[Machine ]], PriceTable[Machine], PriceTable[$/Unit], "")</f>
        <v>0</v>
      </c>
      <c r="C18" s="25"/>
      <c r="D18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8" s="23"/>
      <c r="F18" s="24"/>
      <c r="G18" s="25"/>
      <c r="H18" s="26"/>
      <c r="I18" s="24"/>
      <c r="J18" s="24"/>
      <c r="K18" s="24"/>
    </row>
    <row r="19" spans="1:11" ht="15.75">
      <c r="A19" s="36" t="s">
        <v>12</v>
      </c>
      <c r="B19" s="39">
        <f>_xlfn.XLOOKUP(Log_Atkinson14524[[#This Row],[Machine ]], PriceTable[Machine], PriceTable[$/Unit], "")</f>
        <v>0</v>
      </c>
      <c r="C19" s="25"/>
      <c r="D19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9">
        <f>_xlfn.XLOOKUP(Log_Atkinson14524[[#This Row],[Machine ]], PriceTable[Machine], PriceTable[$/Unit], "")</f>
        <v>0</v>
      </c>
      <c r="C20" s="25"/>
      <c r="D20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0" s="23"/>
      <c r="F20" s="24"/>
      <c r="G20" s="25"/>
      <c r="H20" s="26"/>
      <c r="I20" s="24"/>
      <c r="J20" s="24"/>
      <c r="K20" s="24"/>
    </row>
    <row r="21" spans="1:11" ht="15.75">
      <c r="A21" s="36" t="s">
        <v>12</v>
      </c>
      <c r="B21" s="39">
        <f>_xlfn.XLOOKUP(Log_Atkinson14524[[#This Row],[Machine ]], PriceTable[Machine], PriceTable[$/Unit], "")</f>
        <v>0</v>
      </c>
      <c r="C21" s="25"/>
      <c r="D21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_xlfn.XLOOKUP(Log_Atkinson14524[[#This Row],[Machine ]], PriceTable[Machine], PriceTable[$/Unit], "")</f>
        <v>0</v>
      </c>
      <c r="C22" s="29"/>
      <c r="D22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2" s="27"/>
      <c r="F22" s="24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_xlfn.XLOOKUP(Log_Atkinson14524[[#This Row],[Machine ]], PriceTable[Machine], PriceTable[$/Unit], "")</f>
        <v>0</v>
      </c>
      <c r="C23" s="25"/>
      <c r="D23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_xlfn.XLOOKUP(Log_Atkinson14524[[#This Row],[Machine ]], PriceTable[Machine], PriceTable[$/Unit], "")</f>
        <v>0</v>
      </c>
      <c r="C24" s="29"/>
      <c r="D24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4" s="27"/>
      <c r="F24" s="24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_xlfn.XLOOKUP(Log_Atkinson14524[[#This Row],[Machine ]], PriceTable[Machine], PriceTable[$/Unit], "")</f>
        <v>0</v>
      </c>
      <c r="C25" s="25"/>
      <c r="D25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_xlfn.XLOOKUP(Log_Atkinson14524[[#This Row],[Machine ]], PriceTable[Machine], PriceTable[$/Unit], "")</f>
        <v>0</v>
      </c>
      <c r="C26" s="29"/>
      <c r="D26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6" s="27"/>
      <c r="F26" s="24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_xlfn.XLOOKUP(Log_Atkinson14524[[#This Row],[Machine ]], PriceTable[Machine], PriceTable[$/Unit], "")</f>
        <v>0</v>
      </c>
      <c r="C27" s="25"/>
      <c r="D27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_xlfn.XLOOKUP(Log_Atkinson14524[[#This Row],[Machine ]], PriceTable[Machine], PriceTable[$/Unit], "")</f>
        <v>0</v>
      </c>
      <c r="C28" s="29"/>
      <c r="D28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8" s="27"/>
      <c r="F28" s="24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_xlfn.XLOOKUP(Log_Atkinson14524[[#This Row],[Machine ]], PriceTable[Machine], PriceTable[$/Unit], "")</f>
        <v>0</v>
      </c>
      <c r="C29" s="25"/>
      <c r="D29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_xlfn.XLOOKUP(Log_Atkinson14524[[#This Row],[Machine ]], PriceTable[Machine], PriceTable[$/Unit], "")</f>
        <v>0</v>
      </c>
      <c r="C30" s="29"/>
      <c r="D30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0" s="27"/>
      <c r="F30" s="24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_xlfn.XLOOKUP(Log_Atkinson14524[[#This Row],[Machine ]], PriceTable[Machine], PriceTable[$/Unit], "")</f>
        <v>0</v>
      </c>
      <c r="C31" s="25"/>
      <c r="D31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_xlfn.XLOOKUP(Log_Atkinson14524[[#This Row],[Machine ]], PriceTable[Machine], PriceTable[$/Unit], "")</f>
        <v>0</v>
      </c>
      <c r="C32" s="29"/>
      <c r="D32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2" s="27"/>
      <c r="F32" s="24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_xlfn.XLOOKUP(Log_Atkinson14524[[#This Row],[Machine ]], PriceTable[Machine], PriceTable[$/Unit], "")</f>
        <v>0</v>
      </c>
      <c r="C33" s="25"/>
      <c r="D33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_xlfn.XLOOKUP(Log_Atkinson14524[[#This Row],[Machine ]], PriceTable[Machine], PriceTable[$/Unit], "")</f>
        <v>0</v>
      </c>
      <c r="C34" s="29"/>
      <c r="D34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4" s="27"/>
      <c r="F34" s="24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_xlfn.XLOOKUP(Log_Atkinson14524[[#This Row],[Machine ]], PriceTable[Machine], PriceTable[$/Unit], "")</f>
        <v>0</v>
      </c>
      <c r="C35" s="25"/>
      <c r="D35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_xlfn.XLOOKUP(Log_Atkinson14524[[#This Row],[Machine ]], PriceTable[Machine], PriceTable[$/Unit], "")</f>
        <v>0</v>
      </c>
      <c r="C36" s="29"/>
      <c r="D36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6" s="27"/>
      <c r="F36" s="24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_xlfn.XLOOKUP(Log_Atkinson14524[[#This Row],[Machine ]], PriceTable[Machine], PriceTable[$/Unit], "")</f>
        <v>0</v>
      </c>
      <c r="C37" s="25"/>
      <c r="D37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_xlfn.XLOOKUP(Log_Atkinson14524[[#This Row],[Machine ]], PriceTable[Machine], PriceTable[$/Unit], "")</f>
        <v>0</v>
      </c>
      <c r="C38" s="29"/>
      <c r="D38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8" s="27"/>
      <c r="F38" s="24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_xlfn.XLOOKUP(Log_Atkinson14524[[#This Row],[Machine ]], PriceTable[Machine], PriceTable[$/Unit], "")</f>
        <v>0</v>
      </c>
      <c r="C39" s="25"/>
      <c r="D39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_xlfn.XLOOKUP(Log_Atkinson14524[[#This Row],[Machine ]], PriceTable[Machine], PriceTable[$/Unit], "")</f>
        <v>0</v>
      </c>
      <c r="C40" s="29"/>
      <c r="D40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0" s="27"/>
      <c r="F40" s="24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_xlfn.XLOOKUP(Log_Atkinson14524[[#This Row],[Machine ]], PriceTable[Machine], PriceTable[$/Unit], "")</f>
        <v>0</v>
      </c>
      <c r="C41" s="25"/>
      <c r="D41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_xlfn.XLOOKUP(Log_Atkinson14524[[#This Row],[Machine ]], PriceTable[Machine], PriceTable[$/Unit], "")</f>
        <v>0</v>
      </c>
      <c r="C42" s="29"/>
      <c r="D42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2" s="27"/>
      <c r="F42" s="24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_xlfn.XLOOKUP(Log_Atkinson14524[[#This Row],[Machine ]], PriceTable[Machine], PriceTable[$/Unit], "")</f>
        <v>0</v>
      </c>
      <c r="C43" s="25"/>
      <c r="D43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_xlfn.XLOOKUP(Log_Atkinson14524[[#This Row],[Machine ]], PriceTable[Machine], PriceTable[$/Unit], "")</f>
        <v>0</v>
      </c>
      <c r="C44" s="29"/>
      <c r="D44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4" s="27"/>
      <c r="F44" s="24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_xlfn.XLOOKUP(Log_Atkinson14524[[#This Row],[Machine ]], PriceTable[Machine], PriceTable[$/Unit], "")</f>
        <v>0</v>
      </c>
      <c r="C45" s="25"/>
      <c r="D45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_xlfn.XLOOKUP(Log_Atkinson14524[[#This Row],[Machine ]], PriceTable[Machine], PriceTable[$/Unit], "")</f>
        <v>0</v>
      </c>
      <c r="C46" s="29"/>
      <c r="D46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6" s="27"/>
      <c r="F46" s="24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_xlfn.XLOOKUP(Log_Atkinson14524[[#This Row],[Machine ]], PriceTable[Machine], PriceTable[$/Unit], "")</f>
        <v>0</v>
      </c>
      <c r="C47" s="25"/>
      <c r="D47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_xlfn.XLOOKUP(Log_Atkinson14524[[#This Row],[Machine ]], PriceTable[Machine], PriceTable[$/Unit], "")</f>
        <v>0</v>
      </c>
      <c r="C48" s="29"/>
      <c r="D48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8" s="27"/>
      <c r="F48" s="24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_xlfn.XLOOKUP(Log_Atkinson14524[[#This Row],[Machine ]], PriceTable[Machine], PriceTable[$/Unit], "")</f>
        <v>0</v>
      </c>
      <c r="C49" s="25"/>
      <c r="D49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_xlfn.XLOOKUP(Log_Atkinson14524[[#This Row],[Machine ]], PriceTable[Machine], PriceTable[$/Unit], "")</f>
        <v>0</v>
      </c>
      <c r="C50" s="25"/>
      <c r="D50" s="38" t="str">
        <f>IF(OR(Log_Atkinson14524[[#This Row],[Machine ]]="", Log_Atkinson14524[[#This Row],[Unit Amount]]=""), "", IFERROR(MAX(Log_Atkinson14524[[#This Row],[Unit Amount]] * Log_Atkinson14524[[#This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13</v>
      </c>
      <c r="B51" s="40"/>
      <c r="C51" s="25"/>
      <c r="D51" s="41"/>
      <c r="E51" s="23"/>
      <c r="F51" s="24"/>
      <c r="G51" s="25"/>
      <c r="H51" s="25"/>
      <c r="I51" s="24"/>
      <c r="J51" s="24"/>
      <c r="K51" s="56">
        <f>SUBTOTAL(109,Log_Atkinson14524[Cost])</f>
        <v>152.35999999999999</v>
      </c>
    </row>
    <row r="52" spans="1:11" ht="15.75">
      <c r="A52" s="42"/>
      <c r="B52" s="43"/>
      <c r="C52" s="44"/>
      <c r="D52" s="45"/>
      <c r="E52" s="46"/>
      <c r="F52" s="47"/>
      <c r="G52" s="44"/>
      <c r="H52" s="44"/>
      <c r="I52" s="47"/>
      <c r="J52" s="47"/>
      <c r="K52" s="47"/>
    </row>
    <row r="53" spans="1:11" ht="15.75">
      <c r="C53" s="48"/>
      <c r="E53" s="49"/>
      <c r="G53" s="49"/>
      <c r="H53" s="50"/>
    </row>
    <row r="54" spans="1:11" ht="15.75">
      <c r="C54" s="51"/>
    </row>
    <row r="55" spans="1:11" ht="15.75" customHeight="1"/>
    <row r="56" spans="1:11" ht="15.75"/>
    <row r="57" spans="1:11" ht="11.25" customHeight="1"/>
    <row r="58" spans="1:11" ht="24">
      <c r="A58" s="64" t="s">
        <v>14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>
      <c r="A59" s="52" t="s">
        <v>1</v>
      </c>
      <c r="B59" s="53" t="s">
        <v>2</v>
      </c>
      <c r="C59" s="53" t="s">
        <v>3</v>
      </c>
      <c r="D59" s="54" t="s">
        <v>4</v>
      </c>
      <c r="E59" s="55" t="s">
        <v>5</v>
      </c>
      <c r="F59" s="52" t="s">
        <v>6</v>
      </c>
      <c r="G59" s="55" t="s">
        <v>7</v>
      </c>
      <c r="H59" s="52" t="s">
        <v>15</v>
      </c>
      <c r="I59" s="52" t="s">
        <v>9</v>
      </c>
      <c r="J59" s="52" t="s">
        <v>10</v>
      </c>
      <c r="K59" s="52" t="s">
        <v>11</v>
      </c>
    </row>
    <row r="60" spans="1:11" ht="15.75">
      <c r="A60" s="36" t="s">
        <v>12</v>
      </c>
      <c r="B60" s="39">
        <f>_xlfn.XLOOKUP(Log_Art12325[[#This Row],[Machine ]], PriceTable[Machine], PriceTable[$/Unit], "")</f>
        <v>0</v>
      </c>
      <c r="C60" s="25"/>
      <c r="D60" s="38" t="str">
        <f>IF(OR(Log_Art12325[[#This Row],[Machine ]]="", Log_Art12325[[#This Row],[Unit Amount]]=""), "", IFERROR(MAX(Log_Art12325[[#This Row],[Unit Amount]] * Log_Art12325[[#This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_xlfn.XLOOKUP(Log_Art12325[[#This Row],[Machine ]], PriceTable[Machine], PriceTable[$/Unit], "")</f>
        <v>0</v>
      </c>
      <c r="C61" s="29"/>
      <c r="D61" s="38" t="str">
        <f>IF(OR(Log_Art12325[[#This Row],[Machine ]]="", Log_Art12325[[#This Row],[Unit Amount]]=""), "", IFERROR(MAX(Log_Art12325[[#This Row],[Unit Amount]] * Log_Art12325[[#This Row],[$/Unit]], 3), ""))</f>
        <v/>
      </c>
      <c r="E61" s="27"/>
      <c r="F61" s="24"/>
      <c r="G61" s="29"/>
      <c r="H61" s="30"/>
      <c r="I61" s="28"/>
      <c r="J61" s="24"/>
      <c r="K61" s="28"/>
    </row>
    <row r="62" spans="1:11" ht="15.75">
      <c r="A62" s="36" t="s">
        <v>12</v>
      </c>
      <c r="B62" s="39">
        <f>_xlfn.XLOOKUP(Log_Art12325[[#This Row],[Machine ]], PriceTable[Machine], PriceTable[$/Unit], "")</f>
        <v>0</v>
      </c>
      <c r="C62" s="25"/>
      <c r="D62" s="38" t="str">
        <f>IF(OR(Log_Art12325[[#This Row],[Machine ]]="", Log_Art12325[[#This Row],[Unit Amount]]=""), "", IFERROR(MAX(Log_Art12325[[#This Row],[Unit Amount]] * Log_Art12325[[#This Row],[$/Unit]], 3), ""))</f>
        <v/>
      </c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_xlfn.XLOOKUP(Log_Art12325[[#This Row],[Machine ]], PriceTable[Machine], PriceTable[$/Unit], "")</f>
        <v>0</v>
      </c>
      <c r="C63" s="29"/>
      <c r="D63" s="38" t="str">
        <f>IF(OR(Log_Art12325[[#This Row],[Machine ]]="", Log_Art12325[[#This Row],[Unit Amount]]=""), "", IFERROR(MAX(Log_Art12325[[#This Row],[Unit Amount]] * Log_Art12325[[#This Row],[$/Unit]], 3), ""))</f>
        <v/>
      </c>
      <c r="E63" s="27"/>
      <c r="F63" s="24"/>
      <c r="G63" s="29"/>
      <c r="H63" s="30"/>
      <c r="I63" s="28"/>
      <c r="J63" s="24"/>
      <c r="K63" s="28"/>
    </row>
    <row r="64" spans="1:11" ht="15.75">
      <c r="A64" s="36" t="s">
        <v>12</v>
      </c>
      <c r="B64" s="39">
        <f>_xlfn.XLOOKUP(Log_Art12325[[#This Row],[Machine ]], PriceTable[Machine], PriceTable[$/Unit], "")</f>
        <v>0</v>
      </c>
      <c r="C64" s="25"/>
      <c r="D64" s="38" t="str">
        <f>IF(OR(Log_Art12325[[#This Row],[Machine ]]="", Log_Art12325[[#This Row],[Unit Amount]]=""), "", IFERROR(MAX(Log_Art12325[[#This Row],[Unit Amount]] * Log_Art12325[[#This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_xlfn.XLOOKUP(Log_Art12325[[#This Row],[Machine ]], PriceTable[Machine], PriceTable[$/Unit], "")</f>
        <v>0</v>
      </c>
      <c r="C65" s="29"/>
      <c r="D65" s="38" t="str">
        <f>IF(OR(Log_Art12325[[#This Row],[Machine ]]="", Log_Art12325[[#This Row],[Unit Amount]]=""), "", IFERROR(MAX(Log_Art12325[[#This Row],[Unit Amount]] * Log_Art12325[[#This Row],[$/Unit]], 3), ""))</f>
        <v/>
      </c>
      <c r="E65" s="27"/>
      <c r="F65" s="24"/>
      <c r="G65" s="29"/>
      <c r="H65" s="30"/>
      <c r="I65" s="28"/>
      <c r="J65" s="24"/>
      <c r="K65" s="28"/>
    </row>
    <row r="66" spans="1:11" ht="15.75">
      <c r="A66" s="36" t="s">
        <v>12</v>
      </c>
      <c r="B66" s="39">
        <f>_xlfn.XLOOKUP(Log_Art12325[[#This Row],[Machine ]], PriceTable[Machine], PriceTable[$/Unit], "")</f>
        <v>0</v>
      </c>
      <c r="C66" s="25"/>
      <c r="D66" s="38" t="str">
        <f>IF(OR(Log_Art12325[[#This Row],[Machine ]]="", Log_Art12325[[#This Row],[Unit Amount]]=""), "", IFERROR(MAX(Log_Art12325[[#This Row],[Unit Amount]] * Log_Art12325[[#This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_xlfn.XLOOKUP(Log_Art12325[[#This Row],[Machine ]], PriceTable[Machine], PriceTable[$/Unit], "")</f>
        <v>0</v>
      </c>
      <c r="C67" s="29"/>
      <c r="D67" s="38" t="str">
        <f>IF(OR(Log_Art12325[[#This Row],[Machine ]]="", Log_Art12325[[#This Row],[Unit Amount]]=""), "", IFERROR(MAX(Log_Art12325[[#This Row],[Unit Amount]] * Log_Art12325[[#This Row],[$/Unit]], 3), ""))</f>
        <v/>
      </c>
      <c r="E67" s="27"/>
      <c r="F67" s="24"/>
      <c r="G67" s="29"/>
      <c r="H67" s="30"/>
      <c r="I67" s="28"/>
      <c r="J67" s="24"/>
      <c r="K67" s="28"/>
    </row>
    <row r="68" spans="1:11" ht="15.75">
      <c r="A68" s="36" t="s">
        <v>12</v>
      </c>
      <c r="B68" s="39">
        <f>_xlfn.XLOOKUP(Log_Art12325[[#This Row],[Machine ]], PriceTable[Machine], PriceTable[$/Unit], "")</f>
        <v>0</v>
      </c>
      <c r="C68" s="25"/>
      <c r="D68" s="38" t="str">
        <f>IF(OR(Log_Art12325[[#This Row],[Machine ]]="", Log_Art12325[[#This Row],[Unit Amount]]=""), "", IFERROR(MAX(Log_Art12325[[#This Row],[Unit Amount]] * Log_Art12325[[#This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_xlfn.XLOOKUP(Log_Art12325[[#This Row],[Machine ]], PriceTable[Machine], PriceTable[$/Unit], "")</f>
        <v>0</v>
      </c>
      <c r="C69" s="29"/>
      <c r="D69" s="38" t="str">
        <f>IF(OR(Log_Art12325[[#This Row],[Machine ]]="", Log_Art12325[[#This Row],[Unit Amount]]=""), "", IFERROR(MAX(Log_Art12325[[#This Row],[Unit Amount]] * Log_Art12325[[#This Row],[$/Unit]], 3), ""))</f>
        <v/>
      </c>
      <c r="E69" s="27"/>
      <c r="F69" s="24"/>
      <c r="G69" s="29"/>
      <c r="H69" s="30"/>
      <c r="I69" s="28"/>
      <c r="J69" s="24"/>
      <c r="K69" s="28"/>
    </row>
    <row r="70" spans="1:11" ht="15.75">
      <c r="A70" s="36" t="s">
        <v>12</v>
      </c>
      <c r="B70" s="39">
        <f>_xlfn.XLOOKUP(Log_Art12325[[#This Row],[Machine ]], PriceTable[Machine], PriceTable[$/Unit], "")</f>
        <v>0</v>
      </c>
      <c r="C70" s="25"/>
      <c r="D70" s="38" t="str">
        <f>IF(OR(Log_Art12325[[#This Row],[Machine ]]="", Log_Art12325[[#This Row],[Unit Amount]]=""), "", IFERROR(MAX(Log_Art12325[[#This Row],[Unit Amount]] * Log_Art12325[[#This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>
      <c r="A71" s="36" t="s">
        <v>12</v>
      </c>
      <c r="B71" s="39">
        <f>_xlfn.XLOOKUP(Log_Art12325[[#This Row],[Machine ]], PriceTable[Machine], PriceTable[$/Unit], "")</f>
        <v>0</v>
      </c>
      <c r="C71" s="29"/>
      <c r="D71" s="38" t="str">
        <f>IF(OR(Log_Art12325[[#This Row],[Machine ]]="", Log_Art12325[[#This Row],[Unit Amount]]=""), "", IFERROR(MAX(Log_Art12325[[#This Row],[Unit Amount]] * Log_Art12325[[#This Row],[$/Unit]], 3), ""))</f>
        <v/>
      </c>
      <c r="E71" s="27"/>
      <c r="F71" s="24"/>
      <c r="G71" s="29"/>
      <c r="H71" s="30"/>
      <c r="I71" s="28"/>
      <c r="J71" s="24"/>
      <c r="K71" s="28"/>
    </row>
    <row r="72" spans="1:11" ht="15.75">
      <c r="A72" s="36" t="s">
        <v>12</v>
      </c>
      <c r="B72" s="39">
        <f>_xlfn.XLOOKUP(Log_Art12325[[#This Row],[Machine ]], PriceTable[Machine], PriceTable[$/Unit], "")</f>
        <v>0</v>
      </c>
      <c r="C72" s="25"/>
      <c r="D72" s="38" t="str">
        <f>IF(OR(Log_Art12325[[#This Row],[Machine ]]="", Log_Art12325[[#This Row],[Unit Amount]]=""), "", IFERROR(MAX(Log_Art12325[[#This Row],[Unit Amount]] * Log_Art12325[[#This Row],[$/Unit]], 3), ""))</f>
        <v/>
      </c>
      <c r="E72" s="23"/>
      <c r="F72" s="24"/>
      <c r="G72" s="25"/>
      <c r="H72" s="26"/>
      <c r="I72" s="24"/>
      <c r="J72" s="24"/>
      <c r="K72" s="24"/>
    </row>
    <row r="73" spans="1:11" ht="15.75">
      <c r="A73" s="36" t="s">
        <v>12</v>
      </c>
      <c r="B73" s="39">
        <f>_xlfn.XLOOKUP(Log_Art12325[[#This Row],[Machine ]], PriceTable[Machine], PriceTable[$/Unit], "")</f>
        <v>0</v>
      </c>
      <c r="C73" s="29"/>
      <c r="D73" s="38" t="str">
        <f>IF(OR(Log_Art12325[[#This Row],[Machine ]]="", Log_Art12325[[#This Row],[Unit Amount]]=""), "", IFERROR(MAX(Log_Art12325[[#This Row],[Unit Amount]] * Log_Art12325[[#This Row],[$/Unit]], 3), ""))</f>
        <v/>
      </c>
      <c r="E73" s="27"/>
      <c r="F73" s="24"/>
      <c r="G73" s="29"/>
      <c r="H73" s="30"/>
      <c r="I73" s="28"/>
      <c r="J73" s="24"/>
      <c r="K73" s="28"/>
    </row>
    <row r="74" spans="1:11" ht="15.75">
      <c r="A74" s="36" t="s">
        <v>12</v>
      </c>
      <c r="B74" s="39">
        <f>_xlfn.XLOOKUP(Log_Art12325[[#This Row],[Machine ]], PriceTable[Machine], PriceTable[$/Unit], "")</f>
        <v>0</v>
      </c>
      <c r="C74" s="25"/>
      <c r="D74" s="38" t="str">
        <f>IF(OR(Log_Art12325[[#This Row],[Machine ]]="", Log_Art12325[[#This Row],[Unit Amount]]=""), "", IFERROR(MAX(Log_Art12325[[#This Row],[Unit Amount]] * Log_Art12325[[#This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39">
        <f>_xlfn.XLOOKUP(Log_Art12325[[#This Row],[Machine ]], PriceTable[Machine], PriceTable[$/Unit], "")</f>
        <v>0</v>
      </c>
      <c r="C75" s="29"/>
      <c r="D75" s="38" t="str">
        <f>IF(OR(Log_Art12325[[#This Row],[Machine ]]="", Log_Art12325[[#This Row],[Unit Amount]]=""), "", IFERROR(MAX(Log_Art12325[[#This Row],[Unit Amount]] * Log_Art12325[[#This Row],[$/Unit]], 3), ""))</f>
        <v/>
      </c>
      <c r="E75" s="27"/>
      <c r="F75" s="24"/>
      <c r="G75" s="29"/>
      <c r="H75" s="30"/>
      <c r="I75" s="28"/>
      <c r="J75" s="24"/>
      <c r="K75" s="28"/>
    </row>
    <row r="76" spans="1:11" ht="15.75">
      <c r="A76" s="36" t="s">
        <v>12</v>
      </c>
      <c r="B76" s="39">
        <f>_xlfn.XLOOKUP(Log_Art12325[[#This Row],[Machine ]], PriceTable[Machine], PriceTable[$/Unit], "")</f>
        <v>0</v>
      </c>
      <c r="C76" s="25"/>
      <c r="D76" s="38" t="str">
        <f>IF(OR(Log_Art12325[[#This Row],[Machine ]]="", Log_Art12325[[#This Row],[Unit Amount]]=""), "", IFERROR(MAX(Log_Art12325[[#This Row],[Unit Amount]] * Log_Art12325[[#This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39">
        <f>_xlfn.XLOOKUP(Log_Art12325[[#This Row],[Machine ]], PriceTable[Machine], PriceTable[$/Unit], "")</f>
        <v>0</v>
      </c>
      <c r="C77" s="29"/>
      <c r="D77" s="38" t="str">
        <f>IF(OR(Log_Art12325[[#This Row],[Machine ]]="", Log_Art12325[[#This Row],[Unit Amount]]=""), "", IFERROR(MAX(Log_Art12325[[#This Row],[Unit Amount]] * Log_Art12325[[#This Row],[$/Unit]], 3), ""))</f>
        <v/>
      </c>
      <c r="E77" s="27"/>
      <c r="F77" s="24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_xlfn.XLOOKUP(Log_Art12325[[#This Row],[Machine ]], PriceTable[Machine], PriceTable[$/Unit], "")</f>
        <v>0</v>
      </c>
      <c r="C78" s="25"/>
      <c r="D78" s="38" t="str">
        <f>IF(OR(Log_Art12325[[#This Row],[Machine ]]="", Log_Art12325[[#This Row],[Unit Amount]]=""), "", IFERROR(MAX(Log_Art12325[[#This Row],[Unit Amount]] * Log_Art12325[[#This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39">
        <f>_xlfn.XLOOKUP(Log_Art12325[[#This Row],[Machine ]], PriceTable[Machine], PriceTable[$/Unit], "")</f>
        <v>0</v>
      </c>
      <c r="C79" s="29"/>
      <c r="D79" s="38" t="str">
        <f>IF(OR(Log_Art12325[[#This Row],[Machine ]]="", Log_Art12325[[#This Row],[Unit Amount]]=""), "", IFERROR(MAX(Log_Art12325[[#This Row],[Unit Amount]] * Log_Art12325[[#This Row],[$/Unit]], 3), ""))</f>
        <v/>
      </c>
      <c r="E79" s="27"/>
      <c r="F79" s="24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_xlfn.XLOOKUP(Log_Art12325[[#This Row],[Machine ]], PriceTable[Machine], PriceTable[$/Unit], "")</f>
        <v>0</v>
      </c>
      <c r="C80" s="25"/>
      <c r="D80" s="38" t="str">
        <f>IF(OR(Log_Art12325[[#This Row],[Machine ]]="", Log_Art12325[[#This Row],[Unit Amount]]=""), "", IFERROR(MAX(Log_Art12325[[#This Row],[Unit Amount]] * Log_Art12325[[#This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39">
        <f>_xlfn.XLOOKUP(Log_Art12325[[#This Row],[Machine ]], PriceTable[Machine], PriceTable[$/Unit], "")</f>
        <v>0</v>
      </c>
      <c r="C81" s="29"/>
      <c r="D81" s="38" t="str">
        <f>IF(OR(Log_Art12325[[#This Row],[Machine ]]="", Log_Art12325[[#This Row],[Unit Amount]]=""), "", IFERROR(MAX(Log_Art12325[[#This Row],[Unit Amount]] * Log_Art12325[[#This Row],[$/Unit]], 3), ""))</f>
        <v/>
      </c>
      <c r="E81" s="27"/>
      <c r="F81" s="24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_xlfn.XLOOKUP(Log_Art12325[[#This Row],[Machine ]], PriceTable[Machine], PriceTable[$/Unit], "")</f>
        <v>0</v>
      </c>
      <c r="C82" s="25"/>
      <c r="D82" s="38" t="str">
        <f>IF(OR(Log_Art12325[[#This Row],[Machine ]]="", Log_Art12325[[#This Row],[Unit Amount]]=""), "", IFERROR(MAX(Log_Art12325[[#This Row],[Unit Amount]] * Log_Art12325[[#This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13</v>
      </c>
      <c r="B83" s="40"/>
      <c r="C83" s="25"/>
      <c r="D83" s="41"/>
      <c r="E83" s="23"/>
      <c r="F83" s="24"/>
      <c r="G83" s="25"/>
      <c r="H83" s="25"/>
      <c r="I83" s="24"/>
      <c r="J83" s="24"/>
      <c r="K83" s="56">
        <f>SUBTOTAL(109,Log_Art12325[Cost])</f>
        <v>0</v>
      </c>
    </row>
  </sheetData>
  <sheetProtection sheet="1" objects="1" scenarios="1"/>
  <mergeCells count="2">
    <mergeCell ref="A1:K1"/>
    <mergeCell ref="A58:K58"/>
  </mergeCells>
  <conditionalFormatting sqref="A1 H60:K82">
    <cfRule type="containsText" dxfId="535" priority="12" operator="containsText" text="Select Machine">
      <formula>NOT(ISERROR(SEARCH("Select Machine",A1)))</formula>
    </cfRule>
  </conditionalFormatting>
  <conditionalFormatting sqref="A3:A50 E3:F50 C3:C50">
    <cfRule type="containsText" dxfId="534" priority="7" operator="containsText" text="Select Machine">
      <formula>NOT(ISERROR(SEARCH("Select Machine",A3)))</formula>
    </cfRule>
  </conditionalFormatting>
  <conditionalFormatting sqref="A3:A50 G3:G50">
    <cfRule type="cellIs" dxfId="533" priority="8" operator="equal">
      <formula>"Select Machine"</formula>
    </cfRule>
  </conditionalFormatting>
  <conditionalFormatting sqref="A60:A82">
    <cfRule type="containsText" dxfId="532" priority="4" operator="containsText" text="Select Machine">
      <formula>NOT(ISERROR(SEARCH("Select Machine",A60)))</formula>
    </cfRule>
    <cfRule type="cellIs" dxfId="531" priority="5" operator="equal">
      <formula>"Select Machine"</formula>
    </cfRule>
  </conditionalFormatting>
  <conditionalFormatting sqref="C60:C82 E60:F82">
    <cfRule type="containsText" dxfId="530" priority="1" operator="containsText" text="Select Machine">
      <formula>NOT(ISERROR(SEARCH("Select Machine",C60)))</formula>
    </cfRule>
  </conditionalFormatting>
  <conditionalFormatting sqref="G3:G50">
    <cfRule type="containsText" dxfId="529" priority="9" operator="containsText" text="Select Machine">
      <formula>NOT(ISERROR(SEARCH("Select Machine",G3)))</formula>
    </cfRule>
  </conditionalFormatting>
  <conditionalFormatting sqref="G60:G82">
    <cfRule type="cellIs" dxfId="528" priority="2" operator="equal">
      <formula>"Select Machine"</formula>
    </cfRule>
    <cfRule type="containsText" dxfId="527" priority="3" operator="containsText" text="Select Machine">
      <formula>NOT(ISERROR(SEARCH("Select Machine",G60)))</formula>
    </cfRule>
  </conditionalFormatting>
  <conditionalFormatting sqref="H3:K50">
    <cfRule type="containsText" dxfId="526" priority="6" operator="containsText" text="Select Machine">
      <formula>NOT(ISERROR(SEARCH("Select Machine",H3)))</formula>
    </cfRule>
  </conditionalFormatting>
  <conditionalFormatting sqref="K84:K85 A85:J85 A86:K1048576">
    <cfRule type="containsText" dxfId="525" priority="10" operator="containsText" text="Select Machine">
      <formula>NOT(ISERROR(SEARCH("Select Machine",A84)))</formula>
    </cfRule>
  </conditionalFormatting>
  <conditionalFormatting sqref="L1:XFD1048576 A2:K2 A53:K57 A58 A59:K59">
    <cfRule type="containsText" dxfId="524" priority="11" operator="containsText" text="Select Machine">
      <formula>NOT(ISERROR(SEARCH("Select Machine",A1)))</formula>
    </cfRule>
  </conditionalFormatting>
  <conditionalFormatting sqref="L58:XFD58">
    <cfRule type="cellIs" dxfId="523" priority="13" operator="equal">
      <formula>"Select Machine"</formula>
    </cfRule>
  </conditionalFormatting>
  <dataValidations count="9">
    <dataValidation type="list" allowBlank="1" showInputMessage="1" showErrorMessage="1" sqref="J60:J82 J3:J50" xr:uid="{D57A32F4-1B95-4584-B4F3-A603F050FF98}">
      <formula1>Staff</formula1>
    </dataValidation>
    <dataValidation type="list" allowBlank="1" showInputMessage="1" showErrorMessage="1" sqref="A60:A82 A2:A50" xr:uid="{12041A30-EB2B-4D1C-8DC0-C5176C975124}">
      <formula1>MachineList</formula1>
    </dataValidation>
    <dataValidation type="list" allowBlank="1" showInputMessage="1" showErrorMessage="1" sqref="K61" xr:uid="{E666863C-06B6-4B58-8AD5-6422EB031559}">
      <formula1>"Conrad,Caroline,Calcea,Cooper,Quinton,Kiran,Lacie,Mahi,Rohan,Jacob,Madison"</formula1>
    </dataValidation>
    <dataValidation allowBlank="1" showInputMessage="1" showErrorMessage="1" sqref="F85:F1048576 F53:F82 F1:F50" xr:uid="{D70CA23D-79D7-4020-B812-1B81F2F812A7}"/>
    <dataValidation type="list" allowBlank="1" showInputMessage="1" showErrorMessage="1" sqref="J53" xr:uid="{F4150EAC-7034-43BE-A677-F7E3CBCDB572}">
      <formula1>"Conrad,Spencer,Kiran,Jack Wayne,Morgan"</formula1>
    </dataValidation>
    <dataValidation type="list" allowBlank="1" showInputMessage="1" showErrorMessage="1" sqref="A53 A85" xr:uid="{D705EF58-2796-46EF-BFC1-603CB6D514C4}">
      <formula1>"Prusa,Ultimaker S5,Ultimaker 2+,Raise3D Pro 2 Plus,Markforged Onyx,Form 2, Form 2 Specialty,Plasma,Forest CNC"</formula1>
    </dataValidation>
    <dataValidation type="list" allowBlank="1" showInputMessage="1" showErrorMessage="1" sqref="A59" xr:uid="{A45D6CE9-128F-4470-8C1E-2525BEEC09D6}">
      <formula1>"Prusa,Raise3D Pro 2 Plus,Ultimaker S5,Ultimaker 2+,Markforged Onyx,Form 2,Form 2 Specialty"</formula1>
    </dataValidation>
    <dataValidation type="list" allowBlank="1" showInputMessage="1" showErrorMessage="1" sqref="K53 K60:K82 K3:K50" xr:uid="{3CB4D0C0-B133-47C6-B814-5E40179E1DB5}">
      <formula1>"Open,Closed"</formula1>
    </dataValidation>
    <dataValidation type="whole" allowBlank="1" showInputMessage="1" showErrorMessage="1" sqref="I85 I53 I60:I82 I3:I50" xr:uid="{1683C0A7-B903-4829-A424-858993962C08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C536-F038-4A93-A79C-557B82C98525}">
  <dimension ref="A1:K92"/>
  <sheetViews>
    <sheetView topLeftCell="A9" zoomScaleNormal="100" workbookViewId="0">
      <selection activeCell="H56" sqref="H56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33.140625" style="9" bestFit="1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9">
        <f>_xlfn.XLOOKUP(Log_Atkinson14516[[#This Row],[Machine ]], PriceTable[Machine], PriceTable[$/Unit], "")</f>
        <v>0.1</v>
      </c>
      <c r="C3" s="25">
        <v>651</v>
      </c>
      <c r="D3" s="38">
        <f>IF(OR(Log_Atkinson14516[[#This Row],[Machine ]]="", Log_Atkinson14516[[#This Row],[Unit Amount]]=""), "", IFERROR(MAX(Log_Atkinson14516[[#This Row],[Unit Amount]] * Log_Atkinson14516[[#This Row],[$/Unit]], 3), ""))</f>
        <v>65.100000000000009</v>
      </c>
      <c r="E3" s="23" t="s">
        <v>135</v>
      </c>
      <c r="F3" s="24"/>
      <c r="G3" s="25" t="s">
        <v>159</v>
      </c>
      <c r="H3" s="26">
        <v>46055</v>
      </c>
      <c r="I3" s="24">
        <v>160</v>
      </c>
      <c r="J3" s="24" t="s">
        <v>23</v>
      </c>
      <c r="K3" s="24" t="s">
        <v>20</v>
      </c>
    </row>
    <row r="4" spans="1:11" ht="15.75">
      <c r="A4" s="36" t="s">
        <v>155</v>
      </c>
      <c r="B4" s="37">
        <f>_xlfn.XLOOKUP(Log_Atkinson14516[[#This Row],[Machine ]], PriceTable[Machine], PriceTable[$/Unit], "")</f>
        <v>0.3</v>
      </c>
      <c r="C4" s="29">
        <v>5</v>
      </c>
      <c r="D4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4" s="27" t="s">
        <v>113</v>
      </c>
      <c r="F4" s="24"/>
      <c r="G4" s="29" t="s">
        <v>159</v>
      </c>
      <c r="H4" s="30">
        <v>46057</v>
      </c>
      <c r="I4" s="28">
        <v>161</v>
      </c>
      <c r="J4" s="24" t="s">
        <v>23</v>
      </c>
      <c r="K4" s="28" t="s">
        <v>20</v>
      </c>
    </row>
    <row r="5" spans="1:11" ht="15.75">
      <c r="A5" s="36" t="s">
        <v>16</v>
      </c>
      <c r="B5" s="39">
        <f>_xlfn.XLOOKUP(Log_Atkinson14516[[#This Row],[Machine ]], PriceTable[Machine], PriceTable[$/Unit], "")</f>
        <v>0.1</v>
      </c>
      <c r="C5" s="25">
        <v>591</v>
      </c>
      <c r="D5" s="38">
        <v>17.73</v>
      </c>
      <c r="E5" s="23" t="s">
        <v>157</v>
      </c>
      <c r="F5" s="24" t="s">
        <v>160</v>
      </c>
      <c r="G5" s="25" t="s">
        <v>159</v>
      </c>
      <c r="H5" s="26">
        <v>46057</v>
      </c>
      <c r="I5" s="24">
        <v>162</v>
      </c>
      <c r="J5" s="24" t="s">
        <v>23</v>
      </c>
      <c r="K5" s="24" t="s">
        <v>20</v>
      </c>
    </row>
    <row r="6" spans="1:11" ht="15.75">
      <c r="A6" s="36" t="s">
        <v>16</v>
      </c>
      <c r="B6" s="37">
        <f>_xlfn.XLOOKUP(Log_Atkinson14516[[#This Row],[Machine ]], PriceTable[Machine], PriceTable[$/Unit], "")</f>
        <v>0.1</v>
      </c>
      <c r="C6" s="29">
        <v>685</v>
      </c>
      <c r="D6" s="38">
        <f>IF(OR(Log_Atkinson14516[[#This Row],[Machine ]]="", Log_Atkinson14516[[#This Row],[Unit Amount]]=""), "", IFERROR(MAX(Log_Atkinson14516[[#This Row],[Unit Amount]] * Log_Atkinson14516[[#This Row],[$/Unit]], 3), ""))</f>
        <v>68.5</v>
      </c>
      <c r="E6" s="27" t="s">
        <v>165</v>
      </c>
      <c r="F6" s="24"/>
      <c r="G6" s="29" t="s">
        <v>161</v>
      </c>
      <c r="H6" s="30">
        <v>46058</v>
      </c>
      <c r="I6" s="28">
        <v>163</v>
      </c>
      <c r="J6" s="24" t="s">
        <v>164</v>
      </c>
      <c r="K6" s="28" t="s">
        <v>20</v>
      </c>
    </row>
    <row r="7" spans="1:11" ht="15.75">
      <c r="A7" s="36" t="s">
        <v>16</v>
      </c>
      <c r="B7" s="39">
        <f>_xlfn.XLOOKUP(Log_Atkinson14516[[#This Row],[Machine ]], PriceTable[Machine], PriceTable[$/Unit], "")</f>
        <v>0.1</v>
      </c>
      <c r="C7" s="25">
        <v>81</v>
      </c>
      <c r="D7" s="38">
        <f>IF(OR(Log_Atkinson14516[[#This Row],[Machine ]]="", Log_Atkinson14516[[#This Row],[Unit Amount]]=""), "", IFERROR(MAX(Log_Atkinson14516[[#This Row],[Unit Amount]] * Log_Atkinson14516[[#This Row],[$/Unit]], 3), ""))</f>
        <v>8.1</v>
      </c>
      <c r="E7" s="23" t="s">
        <v>166</v>
      </c>
      <c r="F7" s="24"/>
      <c r="G7" s="25" t="s">
        <v>167</v>
      </c>
      <c r="H7" s="26">
        <v>46058</v>
      </c>
      <c r="I7" s="24">
        <v>164</v>
      </c>
      <c r="J7" s="24" t="s">
        <v>168</v>
      </c>
      <c r="K7" s="24" t="s">
        <v>20</v>
      </c>
    </row>
    <row r="8" spans="1:11" ht="15.75">
      <c r="A8" s="36" t="s">
        <v>16</v>
      </c>
      <c r="B8" s="37">
        <f>_xlfn.XLOOKUP(Log_Atkinson14516[[#This Row],[Machine ]], PriceTable[Machine], PriceTable[$/Unit], "")</f>
        <v>0.1</v>
      </c>
      <c r="C8" s="29">
        <v>104</v>
      </c>
      <c r="D8" s="38">
        <f>IF(OR(Log_Atkinson14516[[#This Row],[Machine ]]="", Log_Atkinson14516[[#This Row],[Unit Amount]]=""), "", IFERROR(MAX(Log_Atkinson14516[[#This Row],[Unit Amount]] * Log_Atkinson14516[[#This Row],[$/Unit]], 3), ""))</f>
        <v>10.4</v>
      </c>
      <c r="E8" s="27" t="s">
        <v>166</v>
      </c>
      <c r="F8" s="24"/>
      <c r="G8" s="29" t="s">
        <v>167</v>
      </c>
      <c r="H8" s="30">
        <v>46059</v>
      </c>
      <c r="I8" s="28">
        <v>165</v>
      </c>
      <c r="J8" s="24" t="s">
        <v>45</v>
      </c>
      <c r="K8" s="28" t="s">
        <v>20</v>
      </c>
    </row>
    <row r="9" spans="1:11" ht="15.75">
      <c r="A9" s="36" t="s">
        <v>16</v>
      </c>
      <c r="B9" s="39">
        <f>_xlfn.XLOOKUP(Log_Atkinson14516[[#This Row],[Machine ]], PriceTable[Machine], PriceTable[$/Unit], "")</f>
        <v>0.1</v>
      </c>
      <c r="C9" s="25">
        <v>265</v>
      </c>
      <c r="D9" s="38">
        <f>IF(OR(Log_Atkinson14516[[#This Row],[Machine ]]="", Log_Atkinson14516[[#This Row],[Unit Amount]]=""), "", IFERROR(MAX(Log_Atkinson14516[[#This Row],[Unit Amount]] * Log_Atkinson14516[[#This Row],[$/Unit]], 3), ""))</f>
        <v>26.5</v>
      </c>
      <c r="E9" s="23" t="s">
        <v>92</v>
      </c>
      <c r="F9" s="24"/>
      <c r="G9" s="25" t="s">
        <v>162</v>
      </c>
      <c r="H9" s="26">
        <v>46062</v>
      </c>
      <c r="I9" s="24">
        <v>166</v>
      </c>
      <c r="J9" s="24" t="s">
        <v>37</v>
      </c>
      <c r="K9" s="24" t="s">
        <v>20</v>
      </c>
    </row>
    <row r="10" spans="1:11" ht="15.75">
      <c r="A10" s="36" t="s">
        <v>87</v>
      </c>
      <c r="B10" s="37">
        <f>_xlfn.XLOOKUP(Log_Atkinson14516[[#This Row],[Machine ]], PriceTable[Machine], PriceTable[$/Unit], "")</f>
        <v>20</v>
      </c>
      <c r="C10" s="29">
        <v>2</v>
      </c>
      <c r="D10" s="38">
        <f>IF(OR(Log_Atkinson14516[[#This Row],[Machine ]]="", Log_Atkinson14516[[#This Row],[Unit Amount]]=""), "", IFERROR(MAX(Log_Atkinson14516[[#This Row],[Unit Amount]] * Log_Atkinson14516[[#This Row],[$/Unit]], 3), ""))</f>
        <v>40</v>
      </c>
      <c r="E10" s="27" t="s">
        <v>157</v>
      </c>
      <c r="F10" s="24"/>
      <c r="G10" s="29"/>
      <c r="H10" s="30">
        <v>46062</v>
      </c>
      <c r="I10" s="28">
        <v>167</v>
      </c>
      <c r="J10" s="24" t="s">
        <v>23</v>
      </c>
      <c r="K10" s="28" t="s">
        <v>20</v>
      </c>
    </row>
    <row r="11" spans="1:11" ht="15.75">
      <c r="A11" s="36" t="s">
        <v>155</v>
      </c>
      <c r="B11" s="39">
        <f>_xlfn.XLOOKUP(Log_Atkinson14516[[#This Row],[Machine ]], PriceTable[Machine], PriceTable[$/Unit], "")</f>
        <v>0.3</v>
      </c>
      <c r="C11" s="25">
        <v>10</v>
      </c>
      <c r="D11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11" s="23" t="s">
        <v>116</v>
      </c>
      <c r="F11" s="24"/>
      <c r="G11" s="25" t="s">
        <v>169</v>
      </c>
      <c r="H11" s="26">
        <v>46063</v>
      </c>
      <c r="I11" s="24">
        <v>168</v>
      </c>
      <c r="J11" s="24" t="s">
        <v>30</v>
      </c>
      <c r="K11" s="24" t="s">
        <v>20</v>
      </c>
    </row>
    <row r="12" spans="1:11" ht="15.75">
      <c r="A12" s="36" t="s">
        <v>16</v>
      </c>
      <c r="B12" s="39">
        <f>_xlfn.XLOOKUP(Log_Atkinson14516[[#This Row],[Machine ]], PriceTable[Machine], PriceTable[$/Unit], "")</f>
        <v>0.1</v>
      </c>
      <c r="C12" s="25">
        <v>81</v>
      </c>
      <c r="D12" s="38">
        <f>IF(OR(Log_Atkinson14516[[#This Row],[Machine ]]="", Log_Atkinson14516[[#This Row],[Unit Amount]]=""), "", IFERROR(MAX(Log_Atkinson14516[[#This Row],[Unit Amount]] * Log_Atkinson14516[[#This Row],[$/Unit]], 3), ""))</f>
        <v>8.1</v>
      </c>
      <c r="E12" s="23" t="s">
        <v>170</v>
      </c>
      <c r="F12" s="24"/>
      <c r="G12" s="25" t="s">
        <v>171</v>
      </c>
      <c r="H12" s="26">
        <v>46063</v>
      </c>
      <c r="I12" s="24">
        <v>169</v>
      </c>
      <c r="J12" s="24" t="s">
        <v>30</v>
      </c>
      <c r="K12" s="24" t="s">
        <v>20</v>
      </c>
    </row>
    <row r="13" spans="1:11" ht="15.75">
      <c r="A13" s="36" t="s">
        <v>16</v>
      </c>
      <c r="B13" s="39">
        <f>_xlfn.XLOOKUP(Log_Atkinson14516[[#This Row],[Machine ]], PriceTable[Machine], PriceTable[$/Unit], "")</f>
        <v>0.1</v>
      </c>
      <c r="C13" s="25">
        <v>324</v>
      </c>
      <c r="D13" s="38">
        <f>IF(OR(Log_Atkinson14516[[#This Row],[Machine ]]="", Log_Atkinson14516[[#This Row],[Unit Amount]]=""), "", IFERROR(MAX(Log_Atkinson14516[[#This Row],[Unit Amount]] * Log_Atkinson14516[[#This Row],[$/Unit]], 3), ""))</f>
        <v>32.4</v>
      </c>
      <c r="E13" s="23" t="s">
        <v>172</v>
      </c>
      <c r="F13" s="24"/>
      <c r="G13" s="25" t="s">
        <v>173</v>
      </c>
      <c r="H13" s="26">
        <v>46064</v>
      </c>
      <c r="I13" s="24">
        <v>170</v>
      </c>
      <c r="J13" s="24" t="s">
        <v>156</v>
      </c>
      <c r="K13" s="24" t="s">
        <v>20</v>
      </c>
    </row>
    <row r="14" spans="1:11" ht="15.75">
      <c r="A14" s="36" t="s">
        <v>16</v>
      </c>
      <c r="B14" s="39">
        <f>_xlfn.XLOOKUP(Log_Atkinson14516[[#This Row],[Machine ]], PriceTable[Machine], PriceTable[$/Unit], "")</f>
        <v>0.1</v>
      </c>
      <c r="C14" s="25">
        <v>29</v>
      </c>
      <c r="D14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14" s="23" t="s">
        <v>172</v>
      </c>
      <c r="F14" s="24"/>
      <c r="G14" s="25" t="s">
        <v>167</v>
      </c>
      <c r="H14" s="26">
        <v>46064</v>
      </c>
      <c r="I14" s="24">
        <v>171</v>
      </c>
      <c r="J14" s="24" t="s">
        <v>23</v>
      </c>
      <c r="K14" s="24" t="s">
        <v>20</v>
      </c>
    </row>
    <row r="15" spans="1:11" ht="15.75">
      <c r="A15" s="36" t="s">
        <v>16</v>
      </c>
      <c r="B15" s="39">
        <f>_xlfn.XLOOKUP(Log_Atkinson14516[[#This Row],[Machine ]], PriceTable[Machine], PriceTable[$/Unit], "")</f>
        <v>0.1</v>
      </c>
      <c r="C15" s="25">
        <v>68</v>
      </c>
      <c r="D15" s="38">
        <f>IF(OR(Log_Atkinson14516[[#This Row],[Machine ]]="", Log_Atkinson14516[[#This Row],[Unit Amount]]=""), "", IFERROR(MAX(Log_Atkinson14516[[#This Row],[Unit Amount]] * Log_Atkinson14516[[#This Row],[$/Unit]], 3), ""))</f>
        <v>6.8000000000000007</v>
      </c>
      <c r="E15" s="23" t="s">
        <v>113</v>
      </c>
      <c r="F15" s="24"/>
      <c r="G15" s="25" t="s">
        <v>161</v>
      </c>
      <c r="H15" s="26">
        <v>46065</v>
      </c>
      <c r="I15" s="24">
        <v>172</v>
      </c>
      <c r="J15" s="24" t="s">
        <v>164</v>
      </c>
      <c r="K15" s="24" t="s">
        <v>20</v>
      </c>
    </row>
    <row r="16" spans="1:11" ht="15.75">
      <c r="A16" s="36" t="s">
        <v>16</v>
      </c>
      <c r="B16" s="39">
        <f>_xlfn.XLOOKUP(Log_Atkinson14516[[#This Row],[Machine ]], PriceTable[Machine], PriceTable[$/Unit], "")</f>
        <v>0.1</v>
      </c>
      <c r="C16" s="25">
        <v>285</v>
      </c>
      <c r="D16" s="38">
        <f>IF(OR(Log_Atkinson14516[[#This Row],[Machine ]]="", Log_Atkinson14516[[#This Row],[Unit Amount]]=""), "", IFERROR(MAX(Log_Atkinson14516[[#This Row],[Unit Amount]] * Log_Atkinson14516[[#This Row],[$/Unit]], 3), ""))</f>
        <v>28.5</v>
      </c>
      <c r="E16" s="23" t="s">
        <v>92</v>
      </c>
      <c r="F16" s="24"/>
      <c r="G16" s="25" t="s">
        <v>64</v>
      </c>
      <c r="H16" s="26">
        <v>46066</v>
      </c>
      <c r="I16" s="24">
        <v>173</v>
      </c>
      <c r="J16" s="24" t="s">
        <v>30</v>
      </c>
      <c r="K16" s="24" t="s">
        <v>20</v>
      </c>
    </row>
    <row r="17" spans="1:11" ht="15.75">
      <c r="A17" s="36" t="s">
        <v>16</v>
      </c>
      <c r="B17" s="39">
        <f>_xlfn.XLOOKUP(Log_Atkinson14516[[#This Row],[Machine ]], PriceTable[Machine], PriceTable[$/Unit], "")</f>
        <v>0.1</v>
      </c>
      <c r="C17" s="25">
        <v>30</v>
      </c>
      <c r="D17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17" s="23" t="s">
        <v>22</v>
      </c>
      <c r="F17" s="24"/>
      <c r="G17" s="25" t="s">
        <v>64</v>
      </c>
      <c r="H17" s="26">
        <v>46073</v>
      </c>
      <c r="I17" s="24">
        <v>174</v>
      </c>
      <c r="J17" s="24" t="s">
        <v>174</v>
      </c>
      <c r="K17" s="24" t="s">
        <v>20</v>
      </c>
    </row>
    <row r="18" spans="1:11" ht="15.75">
      <c r="A18" s="36" t="s">
        <v>16</v>
      </c>
      <c r="B18" s="39">
        <f>_xlfn.XLOOKUP(Log_Atkinson14516[[#This Row],[Machine ]], PriceTable[Machine], PriceTable[$/Unit], "")</f>
        <v>0.1</v>
      </c>
      <c r="C18" s="25">
        <v>262</v>
      </c>
      <c r="D18" s="38">
        <f>IF(OR(Log_Atkinson14516[[#This Row],[Machine ]]="", Log_Atkinson14516[[#This Row],[Unit Amount]]=""), "", IFERROR(MAX(Log_Atkinson14516[[#This Row],[Unit Amount]] * Log_Atkinson14516[[#This Row],[$/Unit]], 3), ""))</f>
        <v>26.200000000000003</v>
      </c>
      <c r="E18" s="23" t="s">
        <v>175</v>
      </c>
      <c r="F18" s="24"/>
      <c r="G18" s="25" t="s">
        <v>176</v>
      </c>
      <c r="H18" s="26">
        <v>46073</v>
      </c>
      <c r="I18" s="24">
        <v>175</v>
      </c>
      <c r="J18" s="24" t="s">
        <v>156</v>
      </c>
      <c r="K18" s="24" t="s">
        <v>20</v>
      </c>
    </row>
    <row r="19" spans="1:11" ht="15.75">
      <c r="A19" s="36" t="s">
        <v>16</v>
      </c>
      <c r="B19" s="39">
        <f>_xlfn.XLOOKUP(Log_Atkinson14516[[#This Row],[Machine ]], PriceTable[Machine], PriceTable[$/Unit], "")</f>
        <v>0.1</v>
      </c>
      <c r="C19" s="25">
        <v>111</v>
      </c>
      <c r="D19" s="38">
        <f>IF(OR(Log_Atkinson14516[[#This Row],[Machine ]]="", Log_Atkinson14516[[#This Row],[Unit Amount]]=""), "", IFERROR(MAX(Log_Atkinson14516[[#This Row],[Unit Amount]] * Log_Atkinson14516[[#This Row],[$/Unit]], 3), ""))</f>
        <v>11.100000000000001</v>
      </c>
      <c r="E19" s="23" t="s">
        <v>177</v>
      </c>
      <c r="F19" s="24"/>
      <c r="G19" s="25" t="s">
        <v>176</v>
      </c>
      <c r="H19" s="26">
        <v>46073</v>
      </c>
      <c r="I19" s="24">
        <v>176</v>
      </c>
      <c r="J19" s="24" t="s">
        <v>156</v>
      </c>
      <c r="K19" s="24" t="s">
        <v>20</v>
      </c>
    </row>
    <row r="20" spans="1:11" ht="15.75">
      <c r="A20" s="36" t="s">
        <v>16</v>
      </c>
      <c r="B20" s="39">
        <f>_xlfn.XLOOKUP(Log_Atkinson14516[[#This Row],[Machine ]], PriceTable[Machine], PriceTable[$/Unit], "")</f>
        <v>0.1</v>
      </c>
      <c r="C20" s="25">
        <v>8</v>
      </c>
      <c r="D20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20" s="23" t="s">
        <v>178</v>
      </c>
      <c r="F20" s="24"/>
      <c r="G20" s="25" t="s">
        <v>176</v>
      </c>
      <c r="H20" s="26">
        <v>46073</v>
      </c>
      <c r="I20" s="24">
        <v>177</v>
      </c>
      <c r="J20" s="24" t="s">
        <v>30</v>
      </c>
      <c r="K20" s="24" t="s">
        <v>20</v>
      </c>
    </row>
    <row r="21" spans="1:11" ht="15.75">
      <c r="A21" s="36" t="s">
        <v>16</v>
      </c>
      <c r="B21" s="39">
        <f>_xlfn.XLOOKUP(Log_Atkinson14516[[#This Row],[Machine ]], PriceTable[Machine], PriceTable[$/Unit], "")</f>
        <v>0.1</v>
      </c>
      <c r="C21" s="25">
        <v>158</v>
      </c>
      <c r="D21" s="38">
        <f>IF(OR(Log_Atkinson14516[[#This Row],[Machine ]]="", Log_Atkinson14516[[#This Row],[Unit Amount]]=""), "", IFERROR(MAX(Log_Atkinson14516[[#This Row],[Unit Amount]] * Log_Atkinson14516[[#This Row],[$/Unit]], 3), ""))</f>
        <v>15.8</v>
      </c>
      <c r="E21" s="23" t="s">
        <v>179</v>
      </c>
      <c r="F21" s="24"/>
      <c r="G21" s="25" t="s">
        <v>180</v>
      </c>
      <c r="H21" s="26">
        <v>46076</v>
      </c>
      <c r="I21" s="24">
        <v>178</v>
      </c>
      <c r="J21" s="24" t="s">
        <v>181</v>
      </c>
      <c r="K21" s="24" t="s">
        <v>20</v>
      </c>
    </row>
    <row r="22" spans="1:11" ht="15.75">
      <c r="A22" s="36" t="s">
        <v>16</v>
      </c>
      <c r="B22" s="39">
        <f>_xlfn.XLOOKUP(Log_Atkinson14516[[#This Row],[Machine ]], PriceTable[Machine], PriceTable[$/Unit], "")</f>
        <v>0.1</v>
      </c>
      <c r="C22" s="25">
        <v>79</v>
      </c>
      <c r="D22" s="38">
        <f>IF(OR(Log_Atkinson14516[[#This Row],[Machine ]]="", Log_Atkinson14516[[#This Row],[Unit Amount]]=""), "", IFERROR(MAX(Log_Atkinson14516[[#This Row],[Unit Amount]] * Log_Atkinson14516[[#This Row],[$/Unit]], 3), ""))</f>
        <v>7.9</v>
      </c>
      <c r="E22" s="23" t="s">
        <v>182</v>
      </c>
      <c r="F22" s="24"/>
      <c r="G22" s="25" t="s">
        <v>180</v>
      </c>
      <c r="H22" s="26">
        <v>46076</v>
      </c>
      <c r="I22" s="24">
        <v>179</v>
      </c>
      <c r="J22" s="24" t="s">
        <v>181</v>
      </c>
      <c r="K22" s="24" t="s">
        <v>20</v>
      </c>
    </row>
    <row r="23" spans="1:11" ht="15.75">
      <c r="A23" s="36" t="s">
        <v>16</v>
      </c>
      <c r="B23" s="39">
        <f>_xlfn.XLOOKUP(Log_Atkinson14516[[#This Row],[Machine ]], PriceTable[Machine], PriceTable[$/Unit], "")</f>
        <v>0.1</v>
      </c>
      <c r="C23" s="25">
        <v>80</v>
      </c>
      <c r="D23" s="38">
        <f>IF(OR(Log_Atkinson14516[[#This Row],[Machine ]]="", Log_Atkinson14516[[#This Row],[Unit Amount]]=""), "", IFERROR(MAX(Log_Atkinson14516[[#This Row],[Unit Amount]] * Log_Atkinson14516[[#This Row],[$/Unit]], 3), ""))</f>
        <v>8</v>
      </c>
      <c r="E23" s="23" t="s">
        <v>183</v>
      </c>
      <c r="F23" s="24"/>
      <c r="G23" s="25" t="s">
        <v>180</v>
      </c>
      <c r="H23" s="26">
        <v>46076</v>
      </c>
      <c r="I23" s="24">
        <v>180</v>
      </c>
      <c r="J23" s="24" t="s">
        <v>23</v>
      </c>
      <c r="K23" s="24" t="s">
        <v>20</v>
      </c>
    </row>
    <row r="24" spans="1:11" ht="15.75">
      <c r="A24" s="36" t="s">
        <v>16</v>
      </c>
      <c r="B24" s="39">
        <f>_xlfn.XLOOKUP(Log_Atkinson14516[[#This Row],[Machine ]], PriceTable[Machine], PriceTable[$/Unit], "")</f>
        <v>0.1</v>
      </c>
      <c r="C24" s="25">
        <v>81</v>
      </c>
      <c r="D24" s="38">
        <f>IF(OR(Log_Atkinson14516[[#This Row],[Machine ]]="", Log_Atkinson14516[[#This Row],[Unit Amount]]=""), "", IFERROR(MAX(Log_Atkinson14516[[#This Row],[Unit Amount]] * Log_Atkinson14516[[#This Row],[$/Unit]], 3), ""))</f>
        <v>8.1</v>
      </c>
      <c r="E24" s="23" t="s">
        <v>184</v>
      </c>
      <c r="F24" s="24"/>
      <c r="G24" s="25" t="s">
        <v>180</v>
      </c>
      <c r="H24" s="26">
        <v>46076</v>
      </c>
      <c r="I24" s="24">
        <v>181</v>
      </c>
      <c r="J24" s="24" t="s">
        <v>37</v>
      </c>
      <c r="K24" s="24" t="s">
        <v>20</v>
      </c>
    </row>
    <row r="25" spans="1:11" ht="15.75">
      <c r="A25" s="36" t="s">
        <v>16</v>
      </c>
      <c r="B25" s="39">
        <f>_xlfn.XLOOKUP(Log_Atkinson14516[[#This Row],[Machine ]], PriceTable[Machine], PriceTable[$/Unit], "")</f>
        <v>0.1</v>
      </c>
      <c r="C25" s="25">
        <v>121</v>
      </c>
      <c r="D25" s="38">
        <f>IF(OR(Log_Atkinson14516[[#This Row],[Machine ]]="", Log_Atkinson14516[[#This Row],[Unit Amount]]=""), "", IFERROR(MAX(Log_Atkinson14516[[#This Row],[Unit Amount]] * Log_Atkinson14516[[#This Row],[$/Unit]], 3), ""))</f>
        <v>12.100000000000001</v>
      </c>
      <c r="E25" s="23" t="s">
        <v>185</v>
      </c>
      <c r="F25" s="24"/>
      <c r="G25" s="25" t="s">
        <v>180</v>
      </c>
      <c r="H25" s="26">
        <v>46076</v>
      </c>
      <c r="I25" s="24">
        <v>182</v>
      </c>
      <c r="J25" s="24" t="s">
        <v>23</v>
      </c>
      <c r="K25" s="24" t="s">
        <v>20</v>
      </c>
    </row>
    <row r="26" spans="1:11" ht="15.75">
      <c r="A26" s="36" t="s">
        <v>16</v>
      </c>
      <c r="B26" s="39">
        <f>_xlfn.XLOOKUP(Log_Atkinson14516[[#This Row],[Machine ]], PriceTable[Machine], PriceTable[$/Unit], "")</f>
        <v>0.1</v>
      </c>
      <c r="C26" s="25">
        <v>17</v>
      </c>
      <c r="D26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26" s="23" t="s">
        <v>186</v>
      </c>
      <c r="F26" s="24"/>
      <c r="G26" s="25" t="s">
        <v>180</v>
      </c>
      <c r="H26" s="26">
        <v>46076</v>
      </c>
      <c r="I26" s="24">
        <v>183</v>
      </c>
      <c r="J26" s="24" t="s">
        <v>23</v>
      </c>
      <c r="K26" s="24" t="s">
        <v>20</v>
      </c>
    </row>
    <row r="27" spans="1:11" ht="15.75">
      <c r="A27" s="36" t="s">
        <v>16</v>
      </c>
      <c r="B27" s="39">
        <f>_xlfn.XLOOKUP(Log_Atkinson14516[[#This Row],[Machine ]], PriceTable[Machine], PriceTable[$/Unit], "")</f>
        <v>0.1</v>
      </c>
      <c r="C27" s="25">
        <v>148</v>
      </c>
      <c r="D27" s="38">
        <f>IF(OR(Log_Atkinson14516[[#This Row],[Machine ]]="", Log_Atkinson14516[[#This Row],[Unit Amount]]=""), "", IFERROR(MAX(Log_Atkinson14516[[#This Row],[Unit Amount]] * Log_Atkinson14516[[#This Row],[$/Unit]], 3), ""))</f>
        <v>14.8</v>
      </c>
      <c r="E27" s="23" t="s">
        <v>187</v>
      </c>
      <c r="F27" s="24"/>
      <c r="G27" s="25" t="s">
        <v>180</v>
      </c>
      <c r="H27" s="26">
        <v>46076</v>
      </c>
      <c r="I27" s="24">
        <v>184</v>
      </c>
      <c r="J27" s="24" t="s">
        <v>23</v>
      </c>
      <c r="K27" s="24" t="s">
        <v>20</v>
      </c>
    </row>
    <row r="28" spans="1:11" ht="15.75">
      <c r="A28" s="36" t="s">
        <v>16</v>
      </c>
      <c r="B28" s="39">
        <f>_xlfn.XLOOKUP(Log_Atkinson14516[[#This Row],[Machine ]], PriceTable[Machine], PriceTable[$/Unit], "")</f>
        <v>0.1</v>
      </c>
      <c r="C28" s="25">
        <v>108</v>
      </c>
      <c r="D28" s="38">
        <f>IF(OR(Log_Atkinson14516[[#This Row],[Machine ]]="", Log_Atkinson14516[[#This Row],[Unit Amount]]=""), "", IFERROR(MAX(Log_Atkinson14516[[#This Row],[Unit Amount]] * Log_Atkinson14516[[#This Row],[$/Unit]], 3), ""))</f>
        <v>10.8</v>
      </c>
      <c r="E28" s="23" t="s">
        <v>188</v>
      </c>
      <c r="F28" s="24"/>
      <c r="G28" s="25" t="s">
        <v>180</v>
      </c>
      <c r="H28" s="26">
        <v>46076</v>
      </c>
      <c r="I28" s="24">
        <v>185</v>
      </c>
      <c r="J28" s="24" t="s">
        <v>23</v>
      </c>
      <c r="K28" s="24" t="s">
        <v>20</v>
      </c>
    </row>
    <row r="29" spans="1:11" ht="15.75">
      <c r="A29" s="36" t="s">
        <v>16</v>
      </c>
      <c r="B29" s="39">
        <f>_xlfn.XLOOKUP(Log_Atkinson14516[[#This Row],[Machine ]], PriceTable[Machine], PriceTable[$/Unit], "")</f>
        <v>0.1</v>
      </c>
      <c r="C29" s="25">
        <v>108</v>
      </c>
      <c r="D29" s="38">
        <f>IF(OR(Log_Atkinson14516[[#This Row],[Machine ]]="", Log_Atkinson14516[[#This Row],[Unit Amount]]=""), "", IFERROR(MAX(Log_Atkinson14516[[#This Row],[Unit Amount]] * Log_Atkinson14516[[#This Row],[$/Unit]], 3), ""))</f>
        <v>10.8</v>
      </c>
      <c r="E29" s="23" t="s">
        <v>57</v>
      </c>
      <c r="F29" s="24"/>
      <c r="G29" s="25" t="s">
        <v>189</v>
      </c>
      <c r="H29" s="26">
        <v>46076</v>
      </c>
      <c r="I29" s="24">
        <v>186</v>
      </c>
      <c r="J29" s="24" t="s">
        <v>156</v>
      </c>
      <c r="K29" s="24" t="s">
        <v>20</v>
      </c>
    </row>
    <row r="30" spans="1:11" ht="15.75">
      <c r="A30" s="36" t="s">
        <v>16</v>
      </c>
      <c r="B30" s="39">
        <f>_xlfn.XLOOKUP(Log_Atkinson14516[[#This Row],[Machine ]], PriceTable[Machine], PriceTable[$/Unit], "")</f>
        <v>0.1</v>
      </c>
      <c r="C30" s="25">
        <v>169</v>
      </c>
      <c r="D30" s="38">
        <f>IF(OR(Log_Atkinson14516[[#This Row],[Machine ]]="", Log_Atkinson14516[[#This Row],[Unit Amount]]=""), "", IFERROR(MAX(Log_Atkinson14516[[#This Row],[Unit Amount]] * Log_Atkinson14516[[#This Row],[$/Unit]], 3), ""))</f>
        <v>16.900000000000002</v>
      </c>
      <c r="E30" s="23" t="s">
        <v>190</v>
      </c>
      <c r="F30" s="24"/>
      <c r="G30" s="25" t="s">
        <v>180</v>
      </c>
      <c r="H30" s="26">
        <v>46076</v>
      </c>
      <c r="I30" s="24">
        <v>187</v>
      </c>
      <c r="J30" s="24" t="s">
        <v>23</v>
      </c>
      <c r="K30" s="24" t="s">
        <v>20</v>
      </c>
    </row>
    <row r="31" spans="1:11" ht="15.75">
      <c r="A31" s="36" t="s">
        <v>16</v>
      </c>
      <c r="B31" s="39">
        <f>_xlfn.XLOOKUP(Log_Atkinson14516[[#This Row],[Machine ]], PriceTable[Machine], PriceTable[$/Unit], "")</f>
        <v>0.1</v>
      </c>
      <c r="C31" s="25">
        <v>97</v>
      </c>
      <c r="D31" s="38">
        <f>IF(OR(Log_Atkinson14516[[#This Row],[Machine ]]="", Log_Atkinson14516[[#This Row],[Unit Amount]]=""), "", IFERROR(MAX(Log_Atkinson14516[[#This Row],[Unit Amount]] * Log_Atkinson14516[[#This Row],[$/Unit]], 3), ""))</f>
        <v>9.7000000000000011</v>
      </c>
      <c r="E31" s="23" t="s">
        <v>191</v>
      </c>
      <c r="F31" s="24"/>
      <c r="G31" s="25" t="s">
        <v>180</v>
      </c>
      <c r="H31" s="26">
        <v>46076</v>
      </c>
      <c r="I31" s="24">
        <v>188</v>
      </c>
      <c r="J31" s="24" t="s">
        <v>49</v>
      </c>
      <c r="K31" s="24" t="s">
        <v>20</v>
      </c>
    </row>
    <row r="32" spans="1:11" ht="15.75">
      <c r="A32" s="36" t="s">
        <v>16</v>
      </c>
      <c r="B32" s="39">
        <f>_xlfn.XLOOKUP(Log_Atkinson14516[[#This Row],[Machine ]], PriceTable[Machine], PriceTable[$/Unit], "")</f>
        <v>0.1</v>
      </c>
      <c r="C32" s="25">
        <v>62</v>
      </c>
      <c r="D32" s="38">
        <f>IF(OR(Log_Atkinson14516[[#This Row],[Machine ]]="", Log_Atkinson14516[[#This Row],[Unit Amount]]=""), "", IFERROR(MAX(Log_Atkinson14516[[#This Row],[Unit Amount]] * Log_Atkinson14516[[#This Row],[$/Unit]], 3), ""))</f>
        <v>6.2</v>
      </c>
      <c r="E32" s="23" t="s">
        <v>185</v>
      </c>
      <c r="F32" s="24"/>
      <c r="G32" s="25" t="s">
        <v>180</v>
      </c>
      <c r="H32" s="26">
        <v>46077</v>
      </c>
      <c r="I32" s="24">
        <v>189</v>
      </c>
      <c r="J32" s="24" t="s">
        <v>181</v>
      </c>
      <c r="K32" s="24" t="s">
        <v>20</v>
      </c>
    </row>
    <row r="33" spans="1:11" ht="15.75">
      <c r="A33" s="36" t="s">
        <v>16</v>
      </c>
      <c r="B33" s="39">
        <f>_xlfn.XLOOKUP(Log_Atkinson14516[[#This Row],[Machine ]], PriceTable[Machine], PriceTable[$/Unit], "")</f>
        <v>0.1</v>
      </c>
      <c r="C33" s="25">
        <v>96</v>
      </c>
      <c r="D33" s="38">
        <f>IF(OR(Log_Atkinson14516[[#This Row],[Machine ]]="", Log_Atkinson14516[[#This Row],[Unit Amount]]=""), "", IFERROR(MAX(Log_Atkinson14516[[#This Row],[Unit Amount]] * Log_Atkinson14516[[#This Row],[$/Unit]], 3), ""))</f>
        <v>9.6000000000000014</v>
      </c>
      <c r="E33" s="23" t="s">
        <v>192</v>
      </c>
      <c r="F33" s="24"/>
      <c r="G33" s="25" t="s">
        <v>176</v>
      </c>
      <c r="H33" s="26">
        <v>46077</v>
      </c>
      <c r="I33" s="24">
        <v>190</v>
      </c>
      <c r="J33" s="24" t="s">
        <v>30</v>
      </c>
      <c r="K33" s="24" t="s">
        <v>20</v>
      </c>
    </row>
    <row r="34" spans="1:11" ht="15.75">
      <c r="A34" s="36" t="s">
        <v>16</v>
      </c>
      <c r="B34" s="39">
        <f>_xlfn.XLOOKUP(Log_Atkinson14516[[#This Row],[Machine ]], PriceTable[Machine], PriceTable[$/Unit], "")</f>
        <v>0.1</v>
      </c>
      <c r="C34" s="25">
        <v>45</v>
      </c>
      <c r="D34" s="38">
        <f>IF(OR(Log_Atkinson14516[[#This Row],[Machine ]]="", Log_Atkinson14516[[#This Row],[Unit Amount]]=""), "", IFERROR(MAX(Log_Atkinson14516[[#This Row],[Unit Amount]] * Log_Atkinson14516[[#This Row],[$/Unit]], 3), ""))</f>
        <v>4.5</v>
      </c>
      <c r="E34" s="23" t="s">
        <v>178</v>
      </c>
      <c r="F34" s="24"/>
      <c r="G34" s="25" t="s">
        <v>180</v>
      </c>
      <c r="H34" s="26">
        <v>46077</v>
      </c>
      <c r="I34" s="24">
        <v>191</v>
      </c>
      <c r="J34" s="24" t="s">
        <v>193</v>
      </c>
      <c r="K34" s="24" t="s">
        <v>20</v>
      </c>
    </row>
    <row r="35" spans="1:11" ht="15.75">
      <c r="A35" s="36" t="s">
        <v>16</v>
      </c>
      <c r="B35" s="39">
        <f>_xlfn.XLOOKUP(Log_Atkinson14516[[#This Row],[Machine ]], PriceTable[Machine], PriceTable[$/Unit], "")</f>
        <v>0.1</v>
      </c>
      <c r="C35" s="25">
        <v>643</v>
      </c>
      <c r="D35" s="38">
        <v>19.29</v>
      </c>
      <c r="E35" s="23" t="s">
        <v>92</v>
      </c>
      <c r="F35" s="24"/>
      <c r="G35" s="25" t="s">
        <v>162</v>
      </c>
      <c r="H35" s="26">
        <v>46077</v>
      </c>
      <c r="I35" s="24">
        <v>192</v>
      </c>
      <c r="J35" s="24" t="s">
        <v>40</v>
      </c>
      <c r="K35" s="24" t="s">
        <v>20</v>
      </c>
    </row>
    <row r="36" spans="1:11" ht="15.75">
      <c r="A36" s="36" t="s">
        <v>16</v>
      </c>
      <c r="B36" s="39">
        <f>_xlfn.XLOOKUP(Log_Atkinson14516[[#This Row],[Machine ]], PriceTable[Machine], PriceTable[$/Unit], "")</f>
        <v>0.1</v>
      </c>
      <c r="C36" s="25">
        <v>79</v>
      </c>
      <c r="D36" s="38">
        <f>IF(OR(Log_Atkinson14516[[#This Row],[Machine ]]="", Log_Atkinson14516[[#This Row],[Unit Amount]]=""), "", IFERROR(MAX(Log_Atkinson14516[[#This Row],[Unit Amount]] * Log_Atkinson14516[[#This Row],[$/Unit]], 3), ""))</f>
        <v>7.9</v>
      </c>
      <c r="E36" s="23" t="s">
        <v>194</v>
      </c>
      <c r="F36" s="24"/>
      <c r="G36" s="25" t="s">
        <v>180</v>
      </c>
      <c r="H36" s="26">
        <v>46078</v>
      </c>
      <c r="I36" s="24">
        <v>193</v>
      </c>
      <c r="J36" s="24" t="s">
        <v>181</v>
      </c>
      <c r="K36" s="24" t="s">
        <v>20</v>
      </c>
    </row>
    <row r="37" spans="1:11" ht="15.75">
      <c r="A37" s="36" t="s">
        <v>16</v>
      </c>
      <c r="B37" s="39">
        <f>_xlfn.XLOOKUP(Log_Atkinson14516[[#This Row],[Machine ]], PriceTable[Machine], PriceTable[$/Unit], "")</f>
        <v>0.1</v>
      </c>
      <c r="C37" s="25">
        <v>193</v>
      </c>
      <c r="D37" s="38">
        <f>IF(OR(Log_Atkinson14516[[#This Row],[Machine ]]="", Log_Atkinson14516[[#This Row],[Unit Amount]]=""), "", IFERROR(MAX(Log_Atkinson14516[[#This Row],[Unit Amount]] * Log_Atkinson14516[[#This Row],[$/Unit]], 3), ""))</f>
        <v>19.3</v>
      </c>
      <c r="E37" s="23" t="s">
        <v>195</v>
      </c>
      <c r="F37" s="24"/>
      <c r="G37" s="25" t="s">
        <v>176</v>
      </c>
      <c r="H37" s="26">
        <v>46078</v>
      </c>
      <c r="I37" s="24">
        <v>194</v>
      </c>
      <c r="J37" s="24" t="s">
        <v>40</v>
      </c>
      <c r="K37" s="24" t="s">
        <v>20</v>
      </c>
    </row>
    <row r="38" spans="1:11" ht="15.75">
      <c r="A38" s="36" t="s">
        <v>16</v>
      </c>
      <c r="B38" s="39">
        <f>_xlfn.XLOOKUP(Log_Atkinson14516[[#This Row],[Machine ]], PriceTable[Machine], PriceTable[$/Unit], "")</f>
        <v>0.1</v>
      </c>
      <c r="C38" s="25">
        <v>140</v>
      </c>
      <c r="D38" s="38">
        <f>IF(OR(Log_Atkinson14516[[#This Row],[Machine ]]="", Log_Atkinson14516[[#This Row],[Unit Amount]]=""), "", IFERROR(MAX(Log_Atkinson14516[[#This Row],[Unit Amount]] * Log_Atkinson14516[[#This Row],[$/Unit]], 3), ""))</f>
        <v>14</v>
      </c>
      <c r="E38" s="23" t="s">
        <v>196</v>
      </c>
      <c r="F38" s="24"/>
      <c r="G38" s="25" t="s">
        <v>180</v>
      </c>
      <c r="H38" s="26">
        <v>46078</v>
      </c>
      <c r="I38" s="24">
        <v>195</v>
      </c>
      <c r="J38" s="24" t="s">
        <v>23</v>
      </c>
      <c r="K38" s="24" t="s">
        <v>20</v>
      </c>
    </row>
    <row r="39" spans="1:11" ht="15.75">
      <c r="A39" s="36" t="s">
        <v>16</v>
      </c>
      <c r="B39" s="39">
        <f>_xlfn.XLOOKUP(Log_Atkinson14516[[#This Row],[Machine ]], PriceTable[Machine], PriceTable[$/Unit], "")</f>
        <v>0.1</v>
      </c>
      <c r="C39" s="25">
        <v>5</v>
      </c>
      <c r="D39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39" s="23" t="s">
        <v>197</v>
      </c>
      <c r="F39" s="24"/>
      <c r="G39" s="25" t="s">
        <v>180</v>
      </c>
      <c r="H39" s="26">
        <v>46078</v>
      </c>
      <c r="I39" s="24">
        <v>196</v>
      </c>
      <c r="J39" s="24" t="s">
        <v>23</v>
      </c>
      <c r="K39" s="24" t="s">
        <v>20</v>
      </c>
    </row>
    <row r="40" spans="1:11" ht="15.75">
      <c r="A40" s="36" t="s">
        <v>16</v>
      </c>
      <c r="B40" s="39">
        <f>_xlfn.XLOOKUP(Log_Atkinson14516[[#This Row],[Machine ]], PriceTable[Machine], PriceTable[$/Unit], "")</f>
        <v>0.1</v>
      </c>
      <c r="C40" s="25">
        <v>80</v>
      </c>
      <c r="D40" s="38">
        <f>IF(OR(Log_Atkinson14516[[#This Row],[Machine ]]="", Log_Atkinson14516[[#This Row],[Unit Amount]]=""), "", IFERROR(MAX(Log_Atkinson14516[[#This Row],[Unit Amount]] * Log_Atkinson14516[[#This Row],[$/Unit]], 3), ""))</f>
        <v>8</v>
      </c>
      <c r="E40" s="23" t="s">
        <v>198</v>
      </c>
      <c r="F40" s="24"/>
      <c r="G40" s="25" t="s">
        <v>180</v>
      </c>
      <c r="H40" s="26">
        <v>46078</v>
      </c>
      <c r="I40" s="24">
        <v>197</v>
      </c>
      <c r="J40" s="24" t="s">
        <v>23</v>
      </c>
      <c r="K40" s="24" t="s">
        <v>20</v>
      </c>
    </row>
    <row r="41" spans="1:11" ht="15.75">
      <c r="A41" s="36" t="s">
        <v>16</v>
      </c>
      <c r="B41" s="39">
        <f>_xlfn.XLOOKUP(Log_Atkinson14516[[#This Row],[Machine ]], PriceTable[Machine], PriceTable[$/Unit], "")</f>
        <v>0.1</v>
      </c>
      <c r="C41" s="25">
        <v>4</v>
      </c>
      <c r="D41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41" s="23" t="s">
        <v>178</v>
      </c>
      <c r="F41" s="24"/>
      <c r="G41" s="25" t="s">
        <v>180</v>
      </c>
      <c r="H41" s="26">
        <v>46078</v>
      </c>
      <c r="I41" s="24">
        <v>198</v>
      </c>
      <c r="J41" s="24" t="s">
        <v>23</v>
      </c>
      <c r="K41" s="24" t="s">
        <v>20</v>
      </c>
    </row>
    <row r="42" spans="1:11" ht="15.75">
      <c r="A42" s="36" t="s">
        <v>16</v>
      </c>
      <c r="B42" s="39">
        <f>_xlfn.XLOOKUP(Log_Atkinson14516[[#This Row],[Machine ]], PriceTable[Machine], PriceTable[$/Unit], "")</f>
        <v>0.1</v>
      </c>
      <c r="C42" s="25">
        <v>36</v>
      </c>
      <c r="D42" s="38">
        <f>IF(OR(Log_Atkinson14516[[#This Row],[Machine ]]="", Log_Atkinson14516[[#This Row],[Unit Amount]]=""), "", IFERROR(MAX(Log_Atkinson14516[[#This Row],[Unit Amount]] * Log_Atkinson14516[[#This Row],[$/Unit]], 3), ""))</f>
        <v>3.6</v>
      </c>
      <c r="E42" s="23" t="s">
        <v>178</v>
      </c>
      <c r="F42" s="24"/>
      <c r="G42" s="25" t="s">
        <v>180</v>
      </c>
      <c r="H42" s="26">
        <v>46078</v>
      </c>
      <c r="I42" s="24">
        <v>199</v>
      </c>
      <c r="J42" s="24" t="s">
        <v>23</v>
      </c>
      <c r="K42" s="24" t="s">
        <v>20</v>
      </c>
    </row>
    <row r="43" spans="1:11" ht="15.75">
      <c r="A43" s="36" t="s">
        <v>16</v>
      </c>
      <c r="B43" s="39">
        <f>_xlfn.XLOOKUP(Log_Atkinson14516[[#This Row],[Machine ]], PriceTable[Machine], PriceTable[$/Unit], "")</f>
        <v>0.1</v>
      </c>
      <c r="C43" s="25">
        <v>147</v>
      </c>
      <c r="D43" s="38">
        <f>IF(OR(Log_Atkinson14516[[#This Row],[Machine ]]="", Log_Atkinson14516[[#This Row],[Unit Amount]]=""), "", IFERROR(MAX(Log_Atkinson14516[[#This Row],[Unit Amount]] * Log_Atkinson14516[[#This Row],[$/Unit]], 3), ""))</f>
        <v>14.700000000000001</v>
      </c>
      <c r="E43" s="23" t="s">
        <v>199</v>
      </c>
      <c r="F43" s="24"/>
      <c r="G43" s="25" t="s">
        <v>176</v>
      </c>
      <c r="H43" s="26">
        <v>46078</v>
      </c>
      <c r="I43" s="24">
        <v>200</v>
      </c>
      <c r="J43" s="24" t="s">
        <v>156</v>
      </c>
      <c r="K43" s="24" t="s">
        <v>20</v>
      </c>
    </row>
    <row r="44" spans="1:11" ht="15.75">
      <c r="A44" s="36" t="s">
        <v>16</v>
      </c>
      <c r="B44" s="39">
        <f>_xlfn.XLOOKUP(Log_Atkinson14516[[#This Row],[Machine ]], PriceTable[Machine], PriceTable[$/Unit], "")</f>
        <v>0.1</v>
      </c>
      <c r="C44" s="25">
        <v>106</v>
      </c>
      <c r="D44" s="38">
        <f>IF(OR(Log_Atkinson14516[[#This Row],[Machine ]]="", Log_Atkinson14516[[#This Row],[Unit Amount]]=""), "", IFERROR(MAX(Log_Atkinson14516[[#This Row],[Unit Amount]] * Log_Atkinson14516[[#This Row],[$/Unit]], 3), ""))</f>
        <v>10.600000000000001</v>
      </c>
      <c r="E44" s="23" t="s">
        <v>200</v>
      </c>
      <c r="F44" s="24"/>
      <c r="G44" s="25" t="s">
        <v>176</v>
      </c>
      <c r="H44" s="26">
        <v>46078</v>
      </c>
      <c r="I44" s="24">
        <v>201</v>
      </c>
      <c r="J44" s="24" t="s">
        <v>156</v>
      </c>
      <c r="K44" s="24" t="s">
        <v>20</v>
      </c>
    </row>
    <row r="45" spans="1:11" ht="15.75">
      <c r="A45" s="36" t="s">
        <v>16</v>
      </c>
      <c r="B45" s="39">
        <f>_xlfn.XLOOKUP(Log_Atkinson14516[[#This Row],[Machine ]], PriceTable[Machine], PriceTable[$/Unit], "")</f>
        <v>0.1</v>
      </c>
      <c r="C45" s="25">
        <v>89</v>
      </c>
      <c r="D45" s="38">
        <f>IF(OR(Log_Atkinson14516[[#This Row],[Machine ]]="", Log_Atkinson14516[[#This Row],[Unit Amount]]=""), "", IFERROR(MAX(Log_Atkinson14516[[#This Row],[Unit Amount]] * Log_Atkinson14516[[#This Row],[$/Unit]], 3), ""))</f>
        <v>8.9</v>
      </c>
      <c r="E45" s="23" t="s">
        <v>201</v>
      </c>
      <c r="F45" s="24"/>
      <c r="G45" s="25" t="s">
        <v>176</v>
      </c>
      <c r="H45" s="26">
        <v>46079</v>
      </c>
      <c r="I45" s="24">
        <v>202</v>
      </c>
      <c r="J45" s="24" t="s">
        <v>49</v>
      </c>
      <c r="K45" s="24" t="s">
        <v>20</v>
      </c>
    </row>
    <row r="46" spans="1:11" ht="15.75">
      <c r="A46" s="36" t="s">
        <v>16</v>
      </c>
      <c r="B46" s="39">
        <f>_xlfn.XLOOKUP(Log_Atkinson14516[[#This Row],[Machine ]], PriceTable[Machine], PriceTable[$/Unit], "")</f>
        <v>0.1</v>
      </c>
      <c r="C46" s="25">
        <v>250</v>
      </c>
      <c r="D46" s="38">
        <f>IF(OR(Log_Atkinson14516[[#This Row],[Machine ]]="", Log_Atkinson14516[[#This Row],[Unit Amount]]=""), "", IFERROR(MAX(Log_Atkinson14516[[#This Row],[Unit Amount]] * Log_Atkinson14516[[#This Row],[$/Unit]], 3), ""))</f>
        <v>25</v>
      </c>
      <c r="E46" s="23" t="s">
        <v>202</v>
      </c>
      <c r="F46" s="24"/>
      <c r="G46" s="25" t="s">
        <v>176</v>
      </c>
      <c r="H46" s="26">
        <v>46079</v>
      </c>
      <c r="I46" s="24">
        <v>203</v>
      </c>
      <c r="J46" s="24" t="s">
        <v>49</v>
      </c>
      <c r="K46" s="24" t="s">
        <v>20</v>
      </c>
    </row>
    <row r="47" spans="1:11" ht="15.75">
      <c r="A47" s="36" t="s">
        <v>16</v>
      </c>
      <c r="B47" s="39">
        <f>_xlfn.XLOOKUP(Log_Atkinson14516[[#This Row],[Machine ]], PriceTable[Machine], PriceTable[$/Unit], "")</f>
        <v>0.1</v>
      </c>
      <c r="C47" s="25">
        <v>219</v>
      </c>
      <c r="D47" s="38">
        <f>IF(OR(Log_Atkinson14516[[#This Row],[Machine ]]="", Log_Atkinson14516[[#This Row],[Unit Amount]]=""), "", IFERROR(MAX(Log_Atkinson14516[[#This Row],[Unit Amount]] * Log_Atkinson14516[[#This Row],[$/Unit]], 3), ""))</f>
        <v>21.900000000000002</v>
      </c>
      <c r="E47" s="23" t="s">
        <v>203</v>
      </c>
      <c r="F47" s="24"/>
      <c r="G47" s="25" t="s">
        <v>176</v>
      </c>
      <c r="H47" s="26">
        <v>46079</v>
      </c>
      <c r="I47" s="24">
        <v>204</v>
      </c>
      <c r="J47" s="24" t="s">
        <v>168</v>
      </c>
      <c r="K47" s="24" t="s">
        <v>20</v>
      </c>
    </row>
    <row r="48" spans="1:11" ht="15.75">
      <c r="A48" s="36" t="s">
        <v>16</v>
      </c>
      <c r="B48" s="39">
        <f>_xlfn.XLOOKUP(Log_Atkinson14516[[#This Row],[Machine ]], PriceTable[Machine], PriceTable[$/Unit], "")</f>
        <v>0.1</v>
      </c>
      <c r="C48" s="25">
        <v>22</v>
      </c>
      <c r="D48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48" s="23" t="s">
        <v>204</v>
      </c>
      <c r="F48" s="24"/>
      <c r="G48" s="25" t="s">
        <v>176</v>
      </c>
      <c r="H48" s="26">
        <v>46079</v>
      </c>
      <c r="I48" s="24">
        <v>205</v>
      </c>
      <c r="J48" s="24" t="s">
        <v>168</v>
      </c>
      <c r="K48" s="24" t="s">
        <v>20</v>
      </c>
    </row>
    <row r="49" spans="1:11" ht="15.75">
      <c r="A49" s="36" t="s">
        <v>16</v>
      </c>
      <c r="B49" s="39">
        <f>_xlfn.XLOOKUP(Log_Atkinson14516[[#This Row],[Machine ]], PriceTable[Machine], PriceTable[$/Unit], "")</f>
        <v>0.1</v>
      </c>
      <c r="C49" s="25">
        <v>30</v>
      </c>
      <c r="D49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49" s="23" t="s">
        <v>201</v>
      </c>
      <c r="F49" s="24"/>
      <c r="G49" s="25" t="s">
        <v>176</v>
      </c>
      <c r="H49" s="26">
        <v>46079</v>
      </c>
      <c r="I49" s="24">
        <v>206</v>
      </c>
      <c r="J49" s="24" t="s">
        <v>168</v>
      </c>
      <c r="K49" s="24" t="s">
        <v>20</v>
      </c>
    </row>
    <row r="50" spans="1:11" ht="15.75">
      <c r="A50" s="36" t="s">
        <v>16</v>
      </c>
      <c r="B50" s="39">
        <f>_xlfn.XLOOKUP(Log_Atkinson14516[[#This Row],[Machine ]], PriceTable[Machine], PriceTable[$/Unit], "")</f>
        <v>0.1</v>
      </c>
      <c r="C50" s="25">
        <v>261</v>
      </c>
      <c r="D50" s="38">
        <f>IF(OR(Log_Atkinson14516[[#This Row],[Machine ]]="", Log_Atkinson14516[[#This Row],[Unit Amount]]=""), "", IFERROR(MAX(Log_Atkinson14516[[#This Row],[Unit Amount]] * Log_Atkinson14516[[#This Row],[$/Unit]], 3), ""))</f>
        <v>26.1</v>
      </c>
      <c r="E50" s="23" t="s">
        <v>17</v>
      </c>
      <c r="F50" s="24"/>
      <c r="G50" s="25" t="s">
        <v>64</v>
      </c>
      <c r="H50" s="26">
        <v>46080</v>
      </c>
      <c r="I50" s="24">
        <v>207</v>
      </c>
      <c r="J50" s="24" t="s">
        <v>45</v>
      </c>
      <c r="K50" s="24" t="s">
        <v>20</v>
      </c>
    </row>
    <row r="51" spans="1:11" ht="15.75" customHeight="1">
      <c r="A51" s="36" t="s">
        <v>16</v>
      </c>
      <c r="B51" s="39">
        <f>_xlfn.XLOOKUP(Log_Atkinson14516[[#This Row],[Machine ]], PriceTable[Machine], PriceTable[$/Unit], "")</f>
        <v>0.1</v>
      </c>
      <c r="C51" s="25">
        <v>105</v>
      </c>
      <c r="D51" s="38">
        <f>IF(OR(Log_Atkinson14516[[#This Row],[Machine ]]="", Log_Atkinson14516[[#This Row],[Unit Amount]]=""), "", IFERROR(MAX(Log_Atkinson14516[[#This Row],[Unit Amount]] * Log_Atkinson14516[[#This Row],[$/Unit]], 3), ""))</f>
        <v>10.5</v>
      </c>
      <c r="E51" s="23" t="s">
        <v>205</v>
      </c>
      <c r="F51" s="24"/>
      <c r="G51" s="25" t="s">
        <v>206</v>
      </c>
      <c r="H51" s="26">
        <v>46080</v>
      </c>
      <c r="I51" s="24">
        <v>208</v>
      </c>
      <c r="J51" s="24" t="s">
        <v>45</v>
      </c>
      <c r="K51" s="24" t="s">
        <v>20</v>
      </c>
    </row>
    <row r="52" spans="1:11" ht="15.75">
      <c r="A52" s="36" t="s">
        <v>16</v>
      </c>
      <c r="B52" s="39">
        <f>_xlfn.XLOOKUP(Log_Atkinson14516[[#This Row],[Machine ]], PriceTable[Machine], PriceTable[$/Unit], "")</f>
        <v>0.1</v>
      </c>
      <c r="C52" s="25">
        <v>230</v>
      </c>
      <c r="D52" s="38">
        <f>IF(OR(Log_Atkinson14516[[#This Row],[Machine ]]="", Log_Atkinson14516[[#This Row],[Unit Amount]]=""), "", IFERROR(MAX(Log_Atkinson14516[[#This Row],[Unit Amount]] * Log_Atkinson14516[[#This Row],[$/Unit]], 3), ""))</f>
        <v>23</v>
      </c>
      <c r="E52" s="23" t="s">
        <v>183</v>
      </c>
      <c r="F52" s="24"/>
      <c r="G52" s="25" t="s">
        <v>206</v>
      </c>
      <c r="H52" s="26">
        <v>46080</v>
      </c>
      <c r="I52" s="24">
        <v>209</v>
      </c>
      <c r="J52" s="24" t="s">
        <v>35</v>
      </c>
      <c r="K52" s="24" t="s">
        <v>207</v>
      </c>
    </row>
    <row r="53" spans="1:11" ht="15.75">
      <c r="A53" s="36" t="s">
        <v>16</v>
      </c>
      <c r="B53" s="39">
        <f>_xlfn.XLOOKUP(Log_Atkinson14516[[#This Row],[Machine ]], PriceTable[Machine], PriceTable[$/Unit], "")</f>
        <v>0.1</v>
      </c>
      <c r="C53" s="25">
        <v>96</v>
      </c>
      <c r="D53" s="38">
        <f>IF(OR(Log_Atkinson14516[[#This Row],[Machine ]]="", Log_Atkinson14516[[#This Row],[Unit Amount]]=""), "", IFERROR(MAX(Log_Atkinson14516[[#This Row],[Unit Amount]] * Log_Atkinson14516[[#This Row],[$/Unit]], 3), ""))</f>
        <v>9.6000000000000014</v>
      </c>
      <c r="E53" s="23" t="s">
        <v>208</v>
      </c>
      <c r="F53" s="24"/>
      <c r="G53" s="25" t="s">
        <v>176</v>
      </c>
      <c r="H53" s="26">
        <v>46080</v>
      </c>
      <c r="I53" s="24">
        <v>210</v>
      </c>
      <c r="J53" s="24" t="s">
        <v>181</v>
      </c>
      <c r="K53" s="24" t="s">
        <v>20</v>
      </c>
    </row>
    <row r="54" spans="1:11" ht="15.75">
      <c r="A54" s="36" t="s">
        <v>16</v>
      </c>
      <c r="B54" s="39">
        <f>_xlfn.XLOOKUP(Log_Atkinson14516[[#This Row],[Machine ]], PriceTable[Machine], PriceTable[$/Unit], "")</f>
        <v>0.1</v>
      </c>
      <c r="C54" s="25">
        <v>593</v>
      </c>
      <c r="D54" s="38">
        <f>IF(OR(Log_Atkinson14516[[#This Row],[Machine ]]="", Log_Atkinson14516[[#This Row],[Unit Amount]]=""), "", IFERROR(MAX(Log_Atkinson14516[[#This Row],[Unit Amount]] * Log_Atkinson14516[[#This Row],[$/Unit]], 3), ""))</f>
        <v>59.300000000000004</v>
      </c>
      <c r="E54" s="23" t="s">
        <v>92</v>
      </c>
      <c r="F54" s="24"/>
      <c r="G54" s="25" t="s">
        <v>64</v>
      </c>
      <c r="H54" s="26">
        <v>46080</v>
      </c>
      <c r="I54" s="24">
        <v>211</v>
      </c>
      <c r="J54" s="24" t="s">
        <v>45</v>
      </c>
      <c r="K54" s="24" t="s">
        <v>20</v>
      </c>
    </row>
    <row r="55" spans="1:11" ht="15.75" customHeight="1">
      <c r="A55" s="36" t="s">
        <v>16</v>
      </c>
      <c r="B55" s="39">
        <f>_xlfn.XLOOKUP(Log_Atkinson14516[[#This Row],[Machine ]], PriceTable[Machine], PriceTable[$/Unit], "")</f>
        <v>0.1</v>
      </c>
      <c r="C55" s="25">
        <v>67</v>
      </c>
      <c r="D55" s="38">
        <f>IF(OR(Log_Atkinson14516[[#This Row],[Machine ]]="", Log_Atkinson14516[[#This Row],[Unit Amount]]=""), "", IFERROR(MAX(Log_Atkinson14516[[#This Row],[Unit Amount]] * Log_Atkinson14516[[#This Row],[$/Unit]], 3), ""))</f>
        <v>6.7</v>
      </c>
      <c r="E55" s="23" t="s">
        <v>200</v>
      </c>
      <c r="F55" s="24"/>
      <c r="G55" s="25"/>
      <c r="H55" s="26">
        <v>46080</v>
      </c>
      <c r="I55" s="24">
        <v>212</v>
      </c>
      <c r="J55" s="24" t="s">
        <v>47</v>
      </c>
      <c r="K55" s="24" t="s">
        <v>20</v>
      </c>
    </row>
    <row r="56" spans="1:11" ht="15.75">
      <c r="A56" s="36" t="s">
        <v>16</v>
      </c>
      <c r="B56" s="39">
        <f>_xlfn.XLOOKUP(Log_Atkinson14516[[#This Row],[Machine ]], PriceTable[Machine], PriceTable[$/Unit], "")</f>
        <v>0.1</v>
      </c>
      <c r="C56" s="25">
        <v>29</v>
      </c>
      <c r="D56" s="38">
        <f>IF(OR(Log_Atkinson14516[[#This Row],[Machine ]]="", Log_Atkinson14516[[#This Row],[Unit Amount]]=""), "", IFERROR(MAX(Log_Atkinson14516[[#This Row],[Unit Amount]] * Log_Atkinson14516[[#This Row],[$/Unit]], 3), ""))</f>
        <v>3</v>
      </c>
      <c r="E56" s="23" t="s">
        <v>184</v>
      </c>
      <c r="F56" s="24"/>
      <c r="G56" s="25"/>
      <c r="H56" s="26">
        <v>46080</v>
      </c>
      <c r="I56" s="24">
        <v>213</v>
      </c>
      <c r="J56" s="24" t="s">
        <v>30</v>
      </c>
      <c r="K56" s="24" t="s">
        <v>20</v>
      </c>
    </row>
    <row r="57" spans="1:11" ht="11.25" customHeight="1">
      <c r="A57" s="36" t="s">
        <v>12</v>
      </c>
      <c r="B57" s="39">
        <f>_xlfn.XLOOKUP(Log_Atkinson14516[[#This Row],[Machine ]], PriceTable[Machine], PriceTable[$/Unit], "")</f>
        <v>0</v>
      </c>
      <c r="C57" s="25"/>
      <c r="D57" s="38" t="str">
        <f>IF(OR(Log_Atkinson14516[[#This Row],[Machine ]]="", Log_Atkinson14516[[#This Row],[Unit Amount]]=""), "", IFERROR(MAX(Log_Atkinson14516[[#This Row],[Unit Amount]] * Log_Atkinson14516[[#This Row],[$/Unit]], 3), ""))</f>
        <v/>
      </c>
      <c r="E57" s="23"/>
      <c r="F57" s="24"/>
      <c r="G57" s="25"/>
      <c r="H57" s="26"/>
      <c r="I57" s="24"/>
      <c r="J57" s="24"/>
      <c r="K57" s="24"/>
    </row>
    <row r="58" spans="1:11" ht="15.75">
      <c r="A58" s="36" t="s">
        <v>12</v>
      </c>
      <c r="B58" s="39">
        <f>_xlfn.XLOOKUP(Log_Atkinson14516[[#This Row],[Machine ]], PriceTable[Machine], PriceTable[$/Unit], "")</f>
        <v>0</v>
      </c>
      <c r="C58" s="25"/>
      <c r="D58" s="38" t="str">
        <f>IF(OR(Log_Atkinson14516[[#This Row],[Machine ]]="", Log_Atkinson14516[[#This Row],[Unit Amount]]=""), "", IFERROR(MAX(Log_Atkinson14516[[#This Row],[Unit Amount]] * Log_Atkinson14516[[#This Row],[$/Unit]], 3), ""))</f>
        <v/>
      </c>
      <c r="E58" s="23"/>
      <c r="F58" s="24"/>
      <c r="G58" s="25"/>
      <c r="H58" s="26"/>
      <c r="I58" s="24"/>
      <c r="J58" s="24"/>
      <c r="K58" s="24"/>
    </row>
    <row r="59" spans="1:11" ht="15.75">
      <c r="A59" s="36" t="s">
        <v>12</v>
      </c>
      <c r="B59" s="39">
        <f>_xlfn.XLOOKUP(Log_Atkinson14516[[#This Row],[Machine ]], PriceTable[Machine], PriceTable[$/Unit], "")</f>
        <v>0</v>
      </c>
      <c r="C59" s="25"/>
      <c r="D59" s="38" t="str">
        <f>IF(OR(Log_Atkinson14516[[#This Row],[Machine ]]="", Log_Atkinson14516[[#This Row],[Unit Amount]]=""), "", IFERROR(MAX(Log_Atkinson14516[[#This Row],[Unit Amount]] * Log_Atkinson14516[[#This Row],[$/Unit]], 3), ""))</f>
        <v/>
      </c>
      <c r="E59" s="23"/>
      <c r="F59" s="24"/>
      <c r="G59" s="25"/>
      <c r="H59" s="26"/>
      <c r="I59" s="24"/>
      <c r="J59" s="24"/>
      <c r="K59" s="24"/>
    </row>
    <row r="60" spans="1:11" ht="15.75">
      <c r="A60" s="36" t="s">
        <v>12</v>
      </c>
      <c r="B60" s="39">
        <f>_xlfn.XLOOKUP(Log_Atkinson14516[[#This Row],[Machine ]], PriceTable[Machine], PriceTable[$/Unit], "")</f>
        <v>0</v>
      </c>
      <c r="C60" s="25"/>
      <c r="D60" s="38" t="str">
        <f>IF(OR(Log_Atkinson14516[[#This Row],[Machine ]]="", Log_Atkinson14516[[#This Row],[Unit Amount]]=""), "", IFERROR(MAX(Log_Atkinson14516[[#This Row],[Unit Amount]] * Log_Atkinson14516[[#This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13</v>
      </c>
      <c r="B61" s="40"/>
      <c r="C61" s="25"/>
      <c r="D61" s="41"/>
      <c r="E61" s="23"/>
      <c r="F61" s="24"/>
      <c r="G61" s="25"/>
      <c r="H61" s="25"/>
      <c r="I61" s="24"/>
      <c r="J61" s="24"/>
      <c r="K61" s="56">
        <f>SUBTOTAL(109,Log_Atkinson14516[Cost])</f>
        <v>806.0200000000001</v>
      </c>
    </row>
    <row r="62" spans="1:11" ht="15.75">
      <c r="C62" s="48"/>
      <c r="E62" s="49"/>
      <c r="G62" s="49"/>
      <c r="H62" s="50"/>
    </row>
    <row r="63" spans="1:11" ht="15.75">
      <c r="C63" s="51"/>
    </row>
    <row r="64" spans="1:11" ht="15.75"/>
    <row r="65" spans="1:11" ht="15.75"/>
    <row r="66" spans="1:11" ht="15.75"/>
    <row r="67" spans="1:11" ht="24">
      <c r="A67" s="64" t="s">
        <v>14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.75">
      <c r="A68" s="52" t="s">
        <v>1</v>
      </c>
      <c r="B68" s="53" t="s">
        <v>2</v>
      </c>
      <c r="C68" s="53" t="s">
        <v>3</v>
      </c>
      <c r="D68" s="54" t="s">
        <v>4</v>
      </c>
      <c r="E68" s="55" t="s">
        <v>5</v>
      </c>
      <c r="F68" s="52" t="s">
        <v>6</v>
      </c>
      <c r="G68" s="55" t="s">
        <v>7</v>
      </c>
      <c r="H68" s="52" t="s">
        <v>15</v>
      </c>
      <c r="I68" s="52" t="s">
        <v>9</v>
      </c>
      <c r="J68" s="52" t="s">
        <v>10</v>
      </c>
      <c r="K68" s="52" t="s">
        <v>11</v>
      </c>
    </row>
    <row r="69" spans="1:11" ht="15.75">
      <c r="A69" s="36" t="s">
        <v>87</v>
      </c>
      <c r="B69" s="39">
        <f>_xlfn.XLOOKUP(Log_Art12317[[#This Row],[Machine ]], PriceTable[Machine], PriceTable[$/Unit], "")</f>
        <v>20</v>
      </c>
      <c r="C69" s="25">
        <v>3</v>
      </c>
      <c r="D69" s="38">
        <f>IF(OR(Log_Art12317[[#This Row],[Machine ]]="", Log_Art12317[[#This Row],[Unit Amount]]=""), "", IFERROR(MAX(Log_Art12317[[#This Row],[Unit Amount]] * Log_Art12317[[#This Row],[$/Unit]], 3), ""))</f>
        <v>60</v>
      </c>
      <c r="E69" s="23" t="s">
        <v>209</v>
      </c>
      <c r="F69" s="24"/>
      <c r="G69" s="25"/>
      <c r="H69" s="26">
        <v>46064</v>
      </c>
      <c r="I69" s="24">
        <v>21</v>
      </c>
      <c r="J69" s="24" t="s">
        <v>35</v>
      </c>
      <c r="K69" s="24" t="s">
        <v>20</v>
      </c>
    </row>
    <row r="70" spans="1:11" ht="15.75">
      <c r="A70" s="36" t="s">
        <v>12</v>
      </c>
      <c r="B70" s="39">
        <f>_xlfn.XLOOKUP(Log_Art12317[[#This Row],[Machine ]], PriceTable[Machine], PriceTable[$/Unit], "")</f>
        <v>0</v>
      </c>
      <c r="C70" s="29"/>
      <c r="D70" s="38" t="str">
        <f>IF(OR(Log_Art12317[[#This Row],[Machine ]]="", Log_Art12317[[#This Row],[Unit Amount]]=""), "", IFERROR(MAX(Log_Art12317[[#This Row],[Unit Amount]] * Log_Art12317[[#This Row],[$/Unit]], 3), ""))</f>
        <v/>
      </c>
      <c r="E70" s="27"/>
      <c r="F70" s="28"/>
      <c r="G70" s="29"/>
      <c r="H70" s="30"/>
      <c r="I70" s="28"/>
      <c r="J70" s="24"/>
      <c r="K70" s="28"/>
    </row>
    <row r="71" spans="1:11" ht="15.75">
      <c r="A71" s="36" t="s">
        <v>12</v>
      </c>
      <c r="B71" s="39">
        <f>_xlfn.XLOOKUP(Log_Art12317[[#This Row],[Machine ]], PriceTable[Machine], PriceTable[$/Unit], "")</f>
        <v>0</v>
      </c>
      <c r="C71" s="25"/>
      <c r="D71" s="38" t="str">
        <f>IF(OR(Log_Art12317[[#This Row],[Machine ]]="", Log_Art12317[[#This Row],[Unit Amount]]=""), "", IFERROR(MAX(Log_Art12317[[#This Row],[Unit Amount]] * Log_Art12317[[#This Row],[$/Unit]], 3), ""))</f>
        <v/>
      </c>
      <c r="E71" s="23"/>
      <c r="F71" s="24"/>
      <c r="G71" s="25"/>
      <c r="H71" s="26"/>
      <c r="I71" s="24"/>
      <c r="J71" s="24"/>
      <c r="K71" s="24"/>
    </row>
    <row r="72" spans="1:11" ht="15.75">
      <c r="A72" s="36" t="s">
        <v>12</v>
      </c>
      <c r="B72" s="39">
        <f>_xlfn.XLOOKUP(Log_Art12317[[#This Row],[Machine ]], PriceTable[Machine], PriceTable[$/Unit], "")</f>
        <v>0</v>
      </c>
      <c r="C72" s="29"/>
      <c r="D72" s="38" t="str">
        <f>IF(OR(Log_Art12317[[#This Row],[Machine ]]="", Log_Art12317[[#This Row],[Unit Amount]]=""), "", IFERROR(MAX(Log_Art12317[[#This Row],[Unit Amount]] * Log_Art12317[[#This Row],[$/Unit]], 3), ""))</f>
        <v/>
      </c>
      <c r="E72" s="27"/>
      <c r="F72" s="28"/>
      <c r="G72" s="29"/>
      <c r="H72" s="30"/>
      <c r="I72" s="28"/>
      <c r="J72" s="24"/>
      <c r="K72" s="28"/>
    </row>
    <row r="73" spans="1:11" ht="15.75">
      <c r="A73" s="36" t="s">
        <v>12</v>
      </c>
      <c r="B73" s="39">
        <f>_xlfn.XLOOKUP(Log_Art12317[[#This Row],[Machine ]], PriceTable[Machine], PriceTable[$/Unit], "")</f>
        <v>0</v>
      </c>
      <c r="C73" s="25"/>
      <c r="D73" s="38" t="str">
        <f>IF(OR(Log_Art12317[[#This Row],[Machine ]]="", Log_Art12317[[#This Row],[Unit Amount]]=""), "", IFERROR(MAX(Log_Art12317[[#This Row],[Unit Amount]] * Log_Art12317[[#This Row],[$/Unit]], 3), ""))</f>
        <v/>
      </c>
      <c r="E73" s="23"/>
      <c r="F73" s="24"/>
      <c r="G73" s="25"/>
      <c r="H73" s="26"/>
      <c r="I73" s="24"/>
      <c r="J73" s="24"/>
      <c r="K73" s="24"/>
    </row>
    <row r="74" spans="1:11" ht="15.75">
      <c r="A74" s="36" t="s">
        <v>12</v>
      </c>
      <c r="B74" s="39">
        <f>_xlfn.XLOOKUP(Log_Art12317[[#This Row],[Machine ]], PriceTable[Machine], PriceTable[$/Unit], "")</f>
        <v>0</v>
      </c>
      <c r="C74" s="29"/>
      <c r="D74" s="38" t="str">
        <f>IF(OR(Log_Art12317[[#This Row],[Machine ]]="", Log_Art12317[[#This Row],[Unit Amount]]=""), "", IFERROR(MAX(Log_Art12317[[#This Row],[Unit Amount]] * Log_Art12317[[#This Row],[$/Unit]], 3), ""))</f>
        <v/>
      </c>
      <c r="E74" s="27"/>
      <c r="F74" s="28"/>
      <c r="G74" s="29"/>
      <c r="H74" s="30"/>
      <c r="I74" s="28"/>
      <c r="J74" s="24"/>
      <c r="K74" s="28"/>
    </row>
    <row r="75" spans="1:11" ht="15.75">
      <c r="A75" s="36" t="s">
        <v>12</v>
      </c>
      <c r="B75" s="39">
        <f>_xlfn.XLOOKUP(Log_Art12317[[#This Row],[Machine ]], PriceTable[Machine], PriceTable[$/Unit], "")</f>
        <v>0</v>
      </c>
      <c r="C75" s="25"/>
      <c r="D75" s="38" t="str">
        <f>IF(OR(Log_Art12317[[#This Row],[Machine ]]="", Log_Art12317[[#This Row],[Unit Amount]]=""), "", IFERROR(MAX(Log_Art12317[[#This Row],[Unit Amount]] * Log_Art12317[[#This Row],[$/Unit]], 3), ""))</f>
        <v/>
      </c>
      <c r="E75" s="23"/>
      <c r="F75" s="24"/>
      <c r="G75" s="25"/>
      <c r="H75" s="26"/>
      <c r="I75" s="24"/>
      <c r="J75" s="24"/>
      <c r="K75" s="24"/>
    </row>
    <row r="76" spans="1:11" ht="15.75">
      <c r="A76" s="36" t="s">
        <v>12</v>
      </c>
      <c r="B76" s="39">
        <f>_xlfn.XLOOKUP(Log_Art12317[[#This Row],[Machine ]], PriceTable[Machine], PriceTable[$/Unit], "")</f>
        <v>0</v>
      </c>
      <c r="C76" s="29"/>
      <c r="D76" s="38" t="str">
        <f>IF(OR(Log_Art12317[[#This Row],[Machine ]]="", Log_Art12317[[#This Row],[Unit Amount]]=""), "", IFERROR(MAX(Log_Art12317[[#This Row],[Unit Amount]] * Log_Art12317[[#This Row],[$/Unit]], 3), ""))</f>
        <v/>
      </c>
      <c r="E76" s="27"/>
      <c r="F76" s="28"/>
      <c r="G76" s="29"/>
      <c r="H76" s="30"/>
      <c r="I76" s="28"/>
      <c r="J76" s="24"/>
      <c r="K76" s="28"/>
    </row>
    <row r="77" spans="1:11" ht="15.75">
      <c r="A77" s="36" t="s">
        <v>12</v>
      </c>
      <c r="B77" s="39">
        <f>_xlfn.XLOOKUP(Log_Art12317[[#This Row],[Machine ]], PriceTable[Machine], PriceTable[$/Unit], "")</f>
        <v>0</v>
      </c>
      <c r="C77" s="25"/>
      <c r="D77" s="38" t="str">
        <f>IF(OR(Log_Art12317[[#This Row],[Machine ]]="", Log_Art12317[[#This Row],[Unit Amount]]=""), "", IFERROR(MAX(Log_Art12317[[#This Row],[Unit Amount]] * Log_Art12317[[#This Row],[$/Unit]], 3), ""))</f>
        <v/>
      </c>
      <c r="E77" s="23"/>
      <c r="F77" s="24"/>
      <c r="G77" s="25"/>
      <c r="H77" s="26"/>
      <c r="I77" s="24"/>
      <c r="J77" s="24"/>
      <c r="K77" s="24"/>
    </row>
    <row r="78" spans="1:11" ht="15.75">
      <c r="A78" s="36" t="s">
        <v>12</v>
      </c>
      <c r="B78" s="39">
        <f>_xlfn.XLOOKUP(Log_Art12317[[#This Row],[Machine ]], PriceTable[Machine], PriceTable[$/Unit], "")</f>
        <v>0</v>
      </c>
      <c r="C78" s="29"/>
      <c r="D78" s="38" t="str">
        <f>IF(OR(Log_Art12317[[#This Row],[Machine ]]="", Log_Art12317[[#This Row],[Unit Amount]]=""), "", IFERROR(MAX(Log_Art12317[[#This Row],[Unit Amount]] * Log_Art12317[[#This Row],[$/Unit]], 3), ""))</f>
        <v/>
      </c>
      <c r="E78" s="27"/>
      <c r="F78" s="28"/>
      <c r="G78" s="29"/>
      <c r="H78" s="30"/>
      <c r="I78" s="28"/>
      <c r="J78" s="24"/>
      <c r="K78" s="28"/>
    </row>
    <row r="79" spans="1:11" ht="15.75">
      <c r="A79" s="36" t="s">
        <v>12</v>
      </c>
      <c r="B79" s="39">
        <f>_xlfn.XLOOKUP(Log_Art12317[[#This Row],[Machine ]], PriceTable[Machine], PriceTable[$/Unit], "")</f>
        <v>0</v>
      </c>
      <c r="C79" s="25"/>
      <c r="D79" s="38" t="str">
        <f>IF(OR(Log_Art12317[[#This Row],[Machine ]]="", Log_Art12317[[#This Row],[Unit Amount]]=""), "", IFERROR(MAX(Log_Art12317[[#This Row],[Unit Amount]] * Log_Art12317[[#This Row],[$/Unit]], 3), ""))</f>
        <v/>
      </c>
      <c r="E79" s="23"/>
      <c r="F79" s="24"/>
      <c r="G79" s="25"/>
      <c r="H79" s="26"/>
      <c r="I79" s="24"/>
      <c r="J79" s="24"/>
      <c r="K79" s="24"/>
    </row>
    <row r="80" spans="1:11" ht="15.75">
      <c r="A80" s="36" t="s">
        <v>12</v>
      </c>
      <c r="B80" s="39">
        <f>_xlfn.XLOOKUP(Log_Art12317[[#This Row],[Machine ]], PriceTable[Machine], PriceTable[$/Unit], "")</f>
        <v>0</v>
      </c>
      <c r="C80" s="29"/>
      <c r="D80" s="38" t="str">
        <f>IF(OR(Log_Art12317[[#This Row],[Machine ]]="", Log_Art12317[[#This Row],[Unit Amount]]=""), "", IFERROR(MAX(Log_Art12317[[#This Row],[Unit Amount]] * Log_Art12317[[#This Row],[$/Unit]], 3), ""))</f>
        <v/>
      </c>
      <c r="E80" s="27"/>
      <c r="F80" s="28"/>
      <c r="G80" s="29"/>
      <c r="H80" s="30"/>
      <c r="I80" s="28"/>
      <c r="J80" s="24"/>
      <c r="K80" s="28"/>
    </row>
    <row r="81" spans="1:11" ht="15.75">
      <c r="A81" s="36" t="s">
        <v>12</v>
      </c>
      <c r="B81" s="39">
        <f>_xlfn.XLOOKUP(Log_Art12317[[#This Row],[Machine ]], PriceTable[Machine], PriceTable[$/Unit], "")</f>
        <v>0</v>
      </c>
      <c r="C81" s="25"/>
      <c r="D81" s="38" t="str">
        <f>IF(OR(Log_Art12317[[#This Row],[Machine ]]="", Log_Art12317[[#This Row],[Unit Amount]]=""), "", IFERROR(MAX(Log_Art12317[[#This Row],[Unit Amount]] * Log_Art12317[[#This Row],[$/Unit]], 3), ""))</f>
        <v/>
      </c>
      <c r="E81" s="23"/>
      <c r="F81" s="24"/>
      <c r="G81" s="25"/>
      <c r="H81" s="26"/>
      <c r="I81" s="24"/>
      <c r="J81" s="24"/>
      <c r="K81" s="24"/>
    </row>
    <row r="82" spans="1:11" ht="15.75">
      <c r="A82" s="36" t="s">
        <v>12</v>
      </c>
      <c r="B82" s="39">
        <f>_xlfn.XLOOKUP(Log_Art12317[[#This Row],[Machine ]], PriceTable[Machine], PriceTable[$/Unit], "")</f>
        <v>0</v>
      </c>
      <c r="C82" s="29"/>
      <c r="D82" s="38" t="str">
        <f>IF(OR(Log_Art12317[[#This Row],[Machine ]]="", Log_Art12317[[#This Row],[Unit Amount]]=""), "", IFERROR(MAX(Log_Art12317[[#This Row],[Unit Amount]] * Log_Art12317[[#This Row],[$/Unit]], 3), ""))</f>
        <v/>
      </c>
      <c r="E82" s="27"/>
      <c r="F82" s="28"/>
      <c r="G82" s="29"/>
      <c r="H82" s="30"/>
      <c r="I82" s="28"/>
      <c r="J82" s="24"/>
      <c r="K82" s="28"/>
    </row>
    <row r="83" spans="1:11" ht="15.75">
      <c r="A83" s="36" t="s">
        <v>12</v>
      </c>
      <c r="B83" s="39">
        <f>_xlfn.XLOOKUP(Log_Art12317[[#This Row],[Machine ]], PriceTable[Machine], PriceTable[$/Unit], "")</f>
        <v>0</v>
      </c>
      <c r="C83" s="25"/>
      <c r="D83" s="38" t="str">
        <f>IF(OR(Log_Art12317[[#This Row],[Machine ]]="", Log_Art12317[[#This Row],[Unit Amount]]=""), "", IFERROR(MAX(Log_Art12317[[#This Row],[Unit Amount]] * Log_Art12317[[#This Row],[$/Unit]], 3), ""))</f>
        <v/>
      </c>
      <c r="E83" s="23"/>
      <c r="F83" s="24"/>
      <c r="G83" s="25"/>
      <c r="H83" s="26"/>
      <c r="I83" s="24"/>
      <c r="J83" s="24"/>
      <c r="K83" s="24"/>
    </row>
    <row r="84" spans="1:11" ht="15" customHeight="1">
      <c r="A84" s="36" t="s">
        <v>12</v>
      </c>
      <c r="B84" s="39">
        <f>_xlfn.XLOOKUP(Log_Art12317[[#This Row],[Machine ]], PriceTable[Machine], PriceTable[$/Unit], "")</f>
        <v>0</v>
      </c>
      <c r="C84" s="29"/>
      <c r="D84" s="38" t="str">
        <f>IF(OR(Log_Art12317[[#This Row],[Machine ]]="", Log_Art12317[[#This Row],[Unit Amount]]=""), "", IFERROR(MAX(Log_Art12317[[#This Row],[Unit Amount]] * Log_Art12317[[#This Row],[$/Unit]], 3), ""))</f>
        <v/>
      </c>
      <c r="E84" s="27"/>
      <c r="F84" s="28"/>
      <c r="G84" s="29"/>
      <c r="H84" s="30"/>
      <c r="I84" s="28"/>
      <c r="J84" s="24"/>
      <c r="K84" s="28"/>
    </row>
    <row r="85" spans="1:11" ht="15" customHeight="1">
      <c r="A85" s="36" t="s">
        <v>12</v>
      </c>
      <c r="B85" s="39">
        <f>_xlfn.XLOOKUP(Log_Art12317[[#This Row],[Machine ]], PriceTable[Machine], PriceTable[$/Unit], "")</f>
        <v>0</v>
      </c>
      <c r="C85" s="25"/>
      <c r="D85" s="38" t="str">
        <f>IF(OR(Log_Art12317[[#This Row],[Machine ]]="", Log_Art12317[[#This Row],[Unit Amount]]=""), "", IFERROR(MAX(Log_Art12317[[#This Row],[Unit Amount]] * Log_Art12317[[#This Row],[$/Unit]], 3), ""))</f>
        <v/>
      </c>
      <c r="E85" s="23"/>
      <c r="F85" s="24"/>
      <c r="G85" s="25"/>
      <c r="H85" s="26"/>
      <c r="I85" s="24"/>
      <c r="J85" s="24"/>
      <c r="K85" s="24"/>
    </row>
    <row r="86" spans="1:11" ht="15" customHeight="1">
      <c r="A86" s="36" t="s">
        <v>12</v>
      </c>
      <c r="B86" s="39">
        <f>_xlfn.XLOOKUP(Log_Art12317[[#This Row],[Machine ]], PriceTable[Machine], PriceTable[$/Unit], "")</f>
        <v>0</v>
      </c>
      <c r="C86" s="29"/>
      <c r="D86" s="38" t="str">
        <f>IF(OR(Log_Art12317[[#This Row],[Machine ]]="", Log_Art12317[[#This Row],[Unit Amount]]=""), "", IFERROR(MAX(Log_Art12317[[#This Row],[Unit Amount]] * Log_Art12317[[#This Row],[$/Unit]], 3), ""))</f>
        <v/>
      </c>
      <c r="E86" s="27"/>
      <c r="F86" s="28"/>
      <c r="G86" s="29"/>
      <c r="H86" s="30"/>
      <c r="I86" s="28"/>
      <c r="J86" s="24"/>
      <c r="K86" s="28"/>
    </row>
    <row r="87" spans="1:11" ht="15" customHeight="1">
      <c r="A87" s="36" t="s">
        <v>12</v>
      </c>
      <c r="B87" s="39">
        <f>_xlfn.XLOOKUP(Log_Art12317[[#This Row],[Machine ]], PriceTable[Machine], PriceTable[$/Unit], "")</f>
        <v>0</v>
      </c>
      <c r="C87" s="25"/>
      <c r="D87" s="38" t="str">
        <f>IF(OR(Log_Art12317[[#This Row],[Machine ]]="", Log_Art12317[[#This Row],[Unit Amount]]=""), "", IFERROR(MAX(Log_Art12317[[#This Row],[Unit Amount]] * Log_Art12317[[#This Row],[$/Unit]], 3), ""))</f>
        <v/>
      </c>
      <c r="E87" s="23"/>
      <c r="F87" s="24"/>
      <c r="G87" s="25"/>
      <c r="H87" s="26"/>
      <c r="I87" s="24"/>
      <c r="J87" s="24"/>
      <c r="K87" s="24"/>
    </row>
    <row r="88" spans="1:11" ht="15" customHeight="1">
      <c r="A88" s="36" t="s">
        <v>12</v>
      </c>
      <c r="B88" s="39">
        <f>_xlfn.XLOOKUP(Log_Art12317[[#This Row],[Machine ]], PriceTable[Machine], PriceTable[$/Unit], "")</f>
        <v>0</v>
      </c>
      <c r="C88" s="29"/>
      <c r="D88" s="38" t="str">
        <f>IF(OR(Log_Art12317[[#This Row],[Machine ]]="", Log_Art12317[[#This Row],[Unit Amount]]=""), "", IFERROR(MAX(Log_Art12317[[#This Row],[Unit Amount]] * Log_Art12317[[#This Row],[$/Unit]], 3), ""))</f>
        <v/>
      </c>
      <c r="E88" s="27"/>
      <c r="F88" s="28"/>
      <c r="G88" s="29"/>
      <c r="H88" s="30"/>
      <c r="I88" s="28"/>
      <c r="J88" s="24"/>
      <c r="K88" s="28"/>
    </row>
    <row r="89" spans="1:11" ht="15" customHeight="1">
      <c r="A89" s="36" t="s">
        <v>12</v>
      </c>
      <c r="B89" s="39">
        <f>_xlfn.XLOOKUP(Log_Art12317[[#This Row],[Machine ]], PriceTable[Machine], PriceTable[$/Unit], "")</f>
        <v>0</v>
      </c>
      <c r="C89" s="25"/>
      <c r="D89" s="38" t="str">
        <f>IF(OR(Log_Art12317[[#This Row],[Machine ]]="", Log_Art12317[[#This Row],[Unit Amount]]=""), "", IFERROR(MAX(Log_Art12317[[#This Row],[Unit Amount]] * Log_Art12317[[#This Row],[$/Unit]], 3), ""))</f>
        <v/>
      </c>
      <c r="E89" s="23"/>
      <c r="F89" s="24"/>
      <c r="G89" s="25"/>
      <c r="H89" s="26"/>
      <c r="I89" s="24"/>
      <c r="J89" s="24"/>
      <c r="K89" s="24"/>
    </row>
    <row r="90" spans="1:11" ht="15" customHeight="1">
      <c r="A90" s="36" t="s">
        <v>12</v>
      </c>
      <c r="B90" s="39">
        <f>_xlfn.XLOOKUP(Log_Art12317[[#This Row],[Machine ]], PriceTable[Machine], PriceTable[$/Unit], "")</f>
        <v>0</v>
      </c>
      <c r="C90" s="29"/>
      <c r="D90" s="38" t="str">
        <f>IF(OR(Log_Art12317[[#This Row],[Machine ]]="", Log_Art12317[[#This Row],[Unit Amount]]=""), "", IFERROR(MAX(Log_Art12317[[#This Row],[Unit Amount]] * Log_Art12317[[#This Row],[$/Unit]], 3), ""))</f>
        <v/>
      </c>
      <c r="E90" s="27"/>
      <c r="F90" s="28"/>
      <c r="G90" s="29"/>
      <c r="H90" s="30"/>
      <c r="I90" s="28"/>
      <c r="J90" s="24"/>
      <c r="K90" s="28"/>
    </row>
    <row r="91" spans="1:11" ht="15" customHeight="1">
      <c r="A91" s="36" t="s">
        <v>12</v>
      </c>
      <c r="B91" s="39">
        <f>_xlfn.XLOOKUP(Log_Art12317[[#This Row],[Machine ]], PriceTable[Machine], PriceTable[$/Unit], "")</f>
        <v>0</v>
      </c>
      <c r="C91" s="25"/>
      <c r="D91" s="38" t="str">
        <f>IF(OR(Log_Art12317[[#This Row],[Machine ]]="", Log_Art12317[[#This Row],[Unit Amount]]=""), "", IFERROR(MAX(Log_Art12317[[#This Row],[Unit Amount]] * Log_Art12317[[#This Row],[$/Unit]], 3), ""))</f>
        <v/>
      </c>
      <c r="E91" s="23"/>
      <c r="F91" s="24"/>
      <c r="G91" s="25"/>
      <c r="H91" s="26"/>
      <c r="I91" s="24"/>
      <c r="J91" s="24"/>
      <c r="K91" s="24"/>
    </row>
    <row r="92" spans="1:11" ht="15" customHeight="1">
      <c r="A92" s="36" t="s">
        <v>13</v>
      </c>
      <c r="B92" s="40"/>
      <c r="C92" s="25"/>
      <c r="D92" s="41"/>
      <c r="E92" s="23"/>
      <c r="F92" s="24"/>
      <c r="G92" s="25"/>
      <c r="H92" s="25"/>
      <c r="I92" s="24"/>
      <c r="J92" s="24"/>
      <c r="K92" s="56">
        <f>SUBTOTAL(109,Log_Art12317[Cost])</f>
        <v>60</v>
      </c>
    </row>
  </sheetData>
  <sheetProtection sheet="1" objects="1" scenarios="1"/>
  <protectedRanges>
    <protectedRange sqref="A3:K60" name="Range1_48_48_48_48_48_1"/>
    <protectedRange sqref="B91:I91 C88:C90 B69:B90 E88:I90 D69:D90 K88:K91" name="Range1_48_48_48_48_48_1_71_3"/>
    <protectedRange sqref="C69:C87 E69:I87 J69:K69 K70:K87 J70:J91" name="Range1_48_48_48_48_48_1_1"/>
    <protectedRange sqref="A69:A91" name="Range2_23_23_23_23_23_23_23_23_23_23_23_23_20_19"/>
  </protectedRanges>
  <mergeCells count="2">
    <mergeCell ref="A1:K1"/>
    <mergeCell ref="A67:K67"/>
  </mergeCells>
  <conditionalFormatting sqref="A1 H69:K91">
    <cfRule type="containsText" dxfId="470" priority="16" operator="containsText" text="Select Machine">
      <formula>NOT(ISERROR(SEARCH("Select Machine",A1)))</formula>
    </cfRule>
  </conditionalFormatting>
  <conditionalFormatting sqref="A11:A60 C11:C60 E11:F60">
    <cfRule type="containsText" dxfId="469" priority="11" operator="containsText" text="Select Machine">
      <formula>NOT(ISERROR(SEARCH("Select Machine",A11)))</formula>
    </cfRule>
  </conditionalFormatting>
  <conditionalFormatting sqref="A11:A60 G11:G60">
    <cfRule type="cellIs" dxfId="468" priority="12" operator="equal">
      <formula>"Select Machine"</formula>
    </cfRule>
  </conditionalFormatting>
  <conditionalFormatting sqref="A69:A91">
    <cfRule type="containsText" dxfId="467" priority="8" operator="containsText" text="Select Machine">
      <formula>NOT(ISERROR(SEARCH("Select Machine",A69)))</formula>
    </cfRule>
    <cfRule type="cellIs" dxfId="466" priority="9" operator="equal">
      <formula>"Select Machine"</formula>
    </cfRule>
  </conditionalFormatting>
  <conditionalFormatting sqref="C69:C91 E69:F91">
    <cfRule type="containsText" dxfId="465" priority="5" operator="containsText" text="Select Machine">
      <formula>NOT(ISERROR(SEARCH("Select Machine",C69)))</formula>
    </cfRule>
  </conditionalFormatting>
  <conditionalFormatting sqref="G11:G60">
    <cfRule type="containsText" dxfId="464" priority="13" operator="containsText" text="Select Machine">
      <formula>NOT(ISERROR(SEARCH("Select Machine",G11)))</formula>
    </cfRule>
  </conditionalFormatting>
  <conditionalFormatting sqref="G69:G91">
    <cfRule type="cellIs" dxfId="463" priority="6" operator="equal">
      <formula>"Select Machine"</formula>
    </cfRule>
    <cfRule type="containsText" dxfId="462" priority="7" operator="containsText" text="Select Machine">
      <formula>NOT(ISERROR(SEARCH("Select Machine",G69)))</formula>
    </cfRule>
  </conditionalFormatting>
  <conditionalFormatting sqref="H11:K60">
    <cfRule type="containsText" dxfId="461" priority="10" operator="containsText" text="Select Machine">
      <formula>NOT(ISERROR(SEARCH("Select Machine",H11)))</formula>
    </cfRule>
  </conditionalFormatting>
  <conditionalFormatting sqref="K93:K94 A94:J94 A95:K1048576">
    <cfRule type="containsText" dxfId="460" priority="14" operator="containsText" text="Select Machine">
      <formula>NOT(ISERROR(SEARCH("Select Machine",A93)))</formula>
    </cfRule>
  </conditionalFormatting>
  <conditionalFormatting sqref="L1:XFD1048576 A2:K2 A62:K66 A67 A68:K68">
    <cfRule type="containsText" dxfId="459" priority="15" operator="containsText" text="Select Machine">
      <formula>NOT(ISERROR(SEARCH("Select Machine",A1)))</formula>
    </cfRule>
  </conditionalFormatting>
  <conditionalFormatting sqref="L58:XFD58">
    <cfRule type="cellIs" dxfId="458" priority="17" operator="equal">
      <formula>"Select Machine"</formula>
    </cfRule>
  </conditionalFormatting>
  <conditionalFormatting sqref="C3:C10 E3:F10 A3:A10">
    <cfRule type="containsText" dxfId="457" priority="2" operator="containsText" text="Select Machine">
      <formula>NOT(ISERROR(SEARCH("Select Machine",A3)))</formula>
    </cfRule>
  </conditionalFormatting>
  <conditionalFormatting sqref="G3:G10 A3:A10">
    <cfRule type="cellIs" dxfId="456" priority="3" operator="equal">
      <formula>"Select Machine"</formula>
    </cfRule>
  </conditionalFormatting>
  <conditionalFormatting sqref="G3:G10">
    <cfRule type="containsText" dxfId="455" priority="4" operator="containsText" text="Select Machine">
      <formula>NOT(ISERROR(SEARCH("Select Machine",G3)))</formula>
    </cfRule>
  </conditionalFormatting>
  <conditionalFormatting sqref="H3:K10">
    <cfRule type="containsText" dxfId="454" priority="1" operator="containsText" text="Select Machine">
      <formula>NOT(ISERROR(SEARCH("Select Machine",H3)))</formula>
    </cfRule>
  </conditionalFormatting>
  <dataValidations count="9">
    <dataValidation type="list" allowBlank="1" showInputMessage="1" showErrorMessage="1" sqref="J69:J91 J3:J60" xr:uid="{D238D79A-8C13-497D-BC4A-3FAC2C646F93}">
      <formula1>Staff</formula1>
    </dataValidation>
    <dataValidation type="list" allowBlank="1" showInputMessage="1" showErrorMessage="1" sqref="A69:A91 A2:A60" xr:uid="{6F3C4057-F216-4432-AA89-4B60815E0E96}">
      <formula1>MachineList</formula1>
    </dataValidation>
    <dataValidation type="list" allowBlank="1" showInputMessage="1" showErrorMessage="1" sqref="K70" xr:uid="{04188605-B794-4F29-969B-55FF80345895}">
      <formula1>"Conrad,Caroline,Calcea,Cooper,Quinton,Kiran,Lacie,Mahi,Rohan,Jacob,Madison"</formula1>
    </dataValidation>
    <dataValidation allowBlank="1" showInputMessage="1" showErrorMessage="1" sqref="F94:F1048576 F1:F10 F62:F68" xr:uid="{3931D4A0-AD42-4341-996E-394173C13009}"/>
    <dataValidation type="list" allowBlank="1" showInputMessage="1" showErrorMessage="1" sqref="J62" xr:uid="{F3E1C9BB-56FB-4C95-8DE8-C9B7604E4E2D}">
      <formula1>"Conrad,Spencer,Kiran,Jack Wayne,Morgan"</formula1>
    </dataValidation>
    <dataValidation type="list" allowBlank="1" showInputMessage="1" showErrorMessage="1" sqref="A62 A94" xr:uid="{0BB26902-4C21-42DA-BF04-373C315E2DF6}">
      <formula1>"Prusa,Ultimaker S5,Ultimaker 2+,Raise3D Pro 2 Plus,Markforged Onyx,Form 2, Form 2 Specialty,Plasma,Forest CNC"</formula1>
    </dataValidation>
    <dataValidation type="list" allowBlank="1" showInputMessage="1" showErrorMessage="1" sqref="A68" xr:uid="{B0B4FECB-ABE1-4C08-9FC2-BA64C24D9E72}">
      <formula1>"Prusa,Raise3D Pro 2 Plus,Ultimaker S5,Ultimaker 2+,Markforged Onyx,Form 2,Form 2 Specialty"</formula1>
    </dataValidation>
    <dataValidation type="list" allowBlank="1" showInputMessage="1" showErrorMessage="1" sqref="K62 K69:K91 K3:K60" xr:uid="{157B143D-D438-40BE-877A-DA4A9BF37EB2}">
      <formula1>"Open,Closed"</formula1>
    </dataValidation>
    <dataValidation type="whole" allowBlank="1" showInputMessage="1" showErrorMessage="1" sqref="F69:F91 I62 I69:I91 I94 F11:F60 I3:I60" xr:uid="{80392F89-C90E-4109-9F30-C4EA6B155C68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C128-7A0A-4D21-9BEA-F0EE6C3BBB7F}">
  <dimension ref="A1:K119"/>
  <sheetViews>
    <sheetView tabSelected="1" topLeftCell="A42" zoomScaleNormal="100" workbookViewId="0">
      <selection activeCell="H74" sqref="H74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_xlfn.XLOOKUP(Log_Atkinson14526[[#This Row],[Machine ]], PriceTable[Machine], PriceTable[$/Unit], "")</f>
        <v>0.1</v>
      </c>
      <c r="C3" s="25">
        <v>115</v>
      </c>
      <c r="D3" s="38">
        <f>IF(OR(Log_Atkinson14526[[#This Row],[Machine ]]="", Log_Atkinson14526[[#This Row],[Unit Amount]]=""), "", IFERROR(MAX(Log_Atkinson14526[[#This Row],[Unit Amount]] * Log_Atkinson14526[[#This Row],[$/Unit]], 3), ""))</f>
        <v>11.5</v>
      </c>
      <c r="E3" s="23" t="s">
        <v>17</v>
      </c>
      <c r="F3" s="24"/>
      <c r="G3" s="25" t="s">
        <v>64</v>
      </c>
      <c r="H3" s="26">
        <v>46083</v>
      </c>
      <c r="I3" s="24">
        <v>214</v>
      </c>
      <c r="J3" s="24" t="s">
        <v>23</v>
      </c>
      <c r="K3" s="24" t="s">
        <v>20</v>
      </c>
    </row>
    <row r="4" spans="1:11" ht="15.75">
      <c r="A4" s="36" t="s">
        <v>16</v>
      </c>
      <c r="B4" s="37">
        <f>_xlfn.XLOOKUP(Log_Atkinson14526[[#This Row],[Machine ]], PriceTable[Machine], PriceTable[$/Unit], "")</f>
        <v>0.1</v>
      </c>
      <c r="C4" s="29">
        <v>49</v>
      </c>
      <c r="D4" s="38">
        <f>IF(OR(Log_Atkinson14526[[#This Row],[Machine ]]="", Log_Atkinson14526[[#This Row],[Unit Amount]]=""), "", IFERROR(MAX(Log_Atkinson14526[[#This Row],[Unit Amount]] * Log_Atkinson14526[[#This Row],[$/Unit]], 3), ""))</f>
        <v>4.9000000000000004</v>
      </c>
      <c r="E4" s="27" t="s">
        <v>195</v>
      </c>
      <c r="F4" s="62"/>
      <c r="G4" s="29" t="s">
        <v>180</v>
      </c>
      <c r="H4" s="30">
        <v>46083</v>
      </c>
      <c r="I4" s="28">
        <v>215</v>
      </c>
      <c r="J4" s="24" t="s">
        <v>23</v>
      </c>
      <c r="K4" s="28" t="s">
        <v>20</v>
      </c>
    </row>
    <row r="5" spans="1:11" ht="15.75">
      <c r="A5" s="36" t="s">
        <v>16</v>
      </c>
      <c r="B5" s="39">
        <f>_xlfn.XLOOKUP(Log_Atkinson14526[[#This Row],[Machine ]], PriceTable[Machine], PriceTable[$/Unit], "")</f>
        <v>0.1</v>
      </c>
      <c r="C5" s="25">
        <v>173</v>
      </c>
      <c r="D5" s="38">
        <v>17.3</v>
      </c>
      <c r="E5" s="23" t="s">
        <v>210</v>
      </c>
      <c r="F5" s="24"/>
      <c r="G5" s="25" t="s">
        <v>180</v>
      </c>
      <c r="H5" s="26">
        <v>46083</v>
      </c>
      <c r="I5" s="24">
        <v>216</v>
      </c>
      <c r="J5" s="24" t="s">
        <v>156</v>
      </c>
      <c r="K5" s="24" t="s">
        <v>20</v>
      </c>
    </row>
    <row r="6" spans="1:11" ht="15.75">
      <c r="A6" s="36" t="s">
        <v>16</v>
      </c>
      <c r="B6" s="37">
        <f>_xlfn.XLOOKUP(Log_Atkinson14526[[#This Row],[Machine ]], PriceTable[Machine], PriceTable[$/Unit], "")</f>
        <v>0.1</v>
      </c>
      <c r="C6" s="29">
        <v>21</v>
      </c>
      <c r="D6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6" s="27" t="s">
        <v>211</v>
      </c>
      <c r="F6" s="62"/>
      <c r="G6" s="29" t="s">
        <v>180</v>
      </c>
      <c r="H6" s="30">
        <v>46083</v>
      </c>
      <c r="I6" s="28">
        <v>217</v>
      </c>
      <c r="J6" s="24" t="s">
        <v>23</v>
      </c>
      <c r="K6" s="28" t="s">
        <v>20</v>
      </c>
    </row>
    <row r="7" spans="1:11" ht="15.75">
      <c r="A7" s="36" t="s">
        <v>16</v>
      </c>
      <c r="B7" s="39">
        <f>_xlfn.XLOOKUP(Log_Atkinson14526[[#This Row],[Machine ]], PriceTable[Machine], PriceTable[$/Unit], "")</f>
        <v>0.1</v>
      </c>
      <c r="C7" s="25">
        <v>97</v>
      </c>
      <c r="D7" s="38">
        <f>IF(OR(Log_Atkinson14526[[#This Row],[Machine ]]="", Log_Atkinson14526[[#This Row],[Unit Amount]]=""), "", IFERROR(MAX(Log_Atkinson14526[[#This Row],[Unit Amount]] * Log_Atkinson14526[[#This Row],[$/Unit]], 3), ""))</f>
        <v>9.7000000000000011</v>
      </c>
      <c r="E7" s="23" t="s">
        <v>192</v>
      </c>
      <c r="F7" s="24"/>
      <c r="G7" s="25" t="s">
        <v>180</v>
      </c>
      <c r="H7" s="26">
        <v>46083</v>
      </c>
      <c r="I7" s="24">
        <v>218</v>
      </c>
      <c r="J7" s="24" t="s">
        <v>23</v>
      </c>
      <c r="K7" s="24" t="s">
        <v>20</v>
      </c>
    </row>
    <row r="8" spans="1:11" ht="15.75">
      <c r="A8" s="36" t="s">
        <v>16</v>
      </c>
      <c r="B8" s="37">
        <f>_xlfn.XLOOKUP(Log_Atkinson14526[[#This Row],[Machine ]], PriceTable[Machine], PriceTable[$/Unit], "")</f>
        <v>0.1</v>
      </c>
      <c r="C8" s="29">
        <v>30</v>
      </c>
      <c r="D8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8" s="27" t="s">
        <v>198</v>
      </c>
      <c r="F8" s="62"/>
      <c r="G8" s="29" t="s">
        <v>180</v>
      </c>
      <c r="H8" s="30">
        <v>46083</v>
      </c>
      <c r="I8" s="28">
        <v>219</v>
      </c>
      <c r="J8" s="24" t="s">
        <v>156</v>
      </c>
      <c r="K8" s="28" t="s">
        <v>20</v>
      </c>
    </row>
    <row r="9" spans="1:11" ht="15.75">
      <c r="A9" s="36" t="s">
        <v>16</v>
      </c>
      <c r="B9" s="39">
        <f>_xlfn.XLOOKUP(Log_Atkinson14526[[#This Row],[Machine ]], PriceTable[Machine], PriceTable[$/Unit], "")</f>
        <v>0.1</v>
      </c>
      <c r="C9" s="25">
        <v>71</v>
      </c>
      <c r="D9" s="38">
        <f>IF(OR(Log_Atkinson14526[[#This Row],[Machine ]]="", Log_Atkinson14526[[#This Row],[Unit Amount]]=""), "", IFERROR(MAX(Log_Atkinson14526[[#This Row],[Unit Amount]] * Log_Atkinson14526[[#This Row],[$/Unit]], 3), ""))</f>
        <v>7.1000000000000005</v>
      </c>
      <c r="E9" s="23" t="s">
        <v>191</v>
      </c>
      <c r="F9" s="24"/>
      <c r="G9" s="25" t="s">
        <v>180</v>
      </c>
      <c r="H9" s="26">
        <v>46083</v>
      </c>
      <c r="I9" s="24">
        <v>220</v>
      </c>
      <c r="J9" s="24" t="s">
        <v>49</v>
      </c>
      <c r="K9" s="24" t="s">
        <v>20</v>
      </c>
    </row>
    <row r="10" spans="1:11" ht="15.75">
      <c r="A10" s="36" t="s">
        <v>16</v>
      </c>
      <c r="B10" s="37">
        <f>_xlfn.XLOOKUP(Log_Atkinson14526[[#This Row],[Machine ]], PriceTable[Machine], PriceTable[$/Unit], "")</f>
        <v>0.1</v>
      </c>
      <c r="C10" s="29">
        <v>0</v>
      </c>
      <c r="D10" s="38">
        <v>6.7</v>
      </c>
      <c r="E10" s="27" t="s">
        <v>192</v>
      </c>
      <c r="F10" s="62"/>
      <c r="G10" s="29" t="s">
        <v>180</v>
      </c>
      <c r="H10" s="30">
        <v>46083</v>
      </c>
      <c r="I10" s="28">
        <v>221</v>
      </c>
      <c r="J10" s="24" t="s">
        <v>23</v>
      </c>
      <c r="K10" s="28" t="s">
        <v>20</v>
      </c>
    </row>
    <row r="11" spans="1:11" ht="15.75">
      <c r="A11" s="36" t="s">
        <v>16</v>
      </c>
      <c r="B11" s="39">
        <f>_xlfn.XLOOKUP(Log_Atkinson14526[[#This Row],[Machine ]], PriceTable[Machine], PriceTable[$/Unit], "")</f>
        <v>0.1</v>
      </c>
      <c r="C11" s="25">
        <v>28</v>
      </c>
      <c r="D11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11" s="23" t="s">
        <v>212</v>
      </c>
      <c r="F11" s="24"/>
      <c r="G11" s="25" t="s">
        <v>180</v>
      </c>
      <c r="H11" s="26">
        <v>46083</v>
      </c>
      <c r="I11" s="24">
        <v>222</v>
      </c>
      <c r="J11" s="24" t="s">
        <v>23</v>
      </c>
      <c r="K11" s="24" t="s">
        <v>20</v>
      </c>
    </row>
    <row r="12" spans="1:11" ht="15.75">
      <c r="A12" s="36" t="s">
        <v>16</v>
      </c>
      <c r="B12" s="37">
        <f>_xlfn.XLOOKUP(Log_Atkinson14526[[#This Row],[Machine ]], PriceTable[Machine], PriceTable[$/Unit], "")</f>
        <v>0.1</v>
      </c>
      <c r="C12" s="29">
        <v>179</v>
      </c>
      <c r="D12" s="38">
        <f>IF(OR(Log_Atkinson14526[[#This Row],[Machine ]]="", Log_Atkinson14526[[#This Row],[Unit Amount]]=""), "", IFERROR(MAX(Log_Atkinson14526[[#This Row],[Unit Amount]] * Log_Atkinson14526[[#This Row],[$/Unit]], 3), ""))</f>
        <v>17.900000000000002</v>
      </c>
      <c r="E12" s="27" t="s">
        <v>213</v>
      </c>
      <c r="F12" s="62"/>
      <c r="G12" s="29" t="s">
        <v>180</v>
      </c>
      <c r="H12" s="30">
        <v>46084</v>
      </c>
      <c r="I12" s="28">
        <v>223</v>
      </c>
      <c r="J12" s="24" t="s">
        <v>164</v>
      </c>
      <c r="K12" s="28" t="s">
        <v>20</v>
      </c>
    </row>
    <row r="13" spans="1:11" ht="15.75">
      <c r="A13" s="36" t="s">
        <v>16</v>
      </c>
      <c r="B13" s="39">
        <f>_xlfn.XLOOKUP(Log_Atkinson14526[[#This Row],[Machine ]], PriceTable[Machine], PriceTable[$/Unit], "")</f>
        <v>0.1</v>
      </c>
      <c r="C13" s="25">
        <v>28</v>
      </c>
      <c r="D13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13" s="23" t="s">
        <v>182</v>
      </c>
      <c r="F13" s="24"/>
      <c r="G13" s="25" t="s">
        <v>180</v>
      </c>
      <c r="H13" s="26">
        <v>46084</v>
      </c>
      <c r="I13" s="24">
        <v>224</v>
      </c>
      <c r="J13" s="24" t="s">
        <v>35</v>
      </c>
      <c r="K13" s="24" t="s">
        <v>20</v>
      </c>
    </row>
    <row r="14" spans="1:11" ht="15.75">
      <c r="A14" s="36" t="s">
        <v>16</v>
      </c>
      <c r="B14" s="37">
        <f>_xlfn.XLOOKUP(Log_Atkinson14526[[#This Row],[Machine ]], PriceTable[Machine], PriceTable[$/Unit], "")</f>
        <v>0.1</v>
      </c>
      <c r="C14" s="29">
        <v>381</v>
      </c>
      <c r="D14" s="38">
        <f>IF(OR(Log_Atkinson14526[[#This Row],[Machine ]]="", Log_Atkinson14526[[#This Row],[Unit Amount]]=""), "", IFERROR(MAX(Log_Atkinson14526[[#This Row],[Unit Amount]] * Log_Atkinson14526[[#This Row],[$/Unit]], 3), ""))</f>
        <v>38.1</v>
      </c>
      <c r="E14" s="27" t="s">
        <v>186</v>
      </c>
      <c r="F14" s="62"/>
      <c r="G14" s="29" t="s">
        <v>180</v>
      </c>
      <c r="H14" s="30">
        <v>46084</v>
      </c>
      <c r="I14" s="28">
        <v>225</v>
      </c>
      <c r="J14" s="24" t="s">
        <v>164</v>
      </c>
      <c r="K14" s="28" t="s">
        <v>20</v>
      </c>
    </row>
    <row r="15" spans="1:11" ht="15.75">
      <c r="A15" s="36" t="s">
        <v>16</v>
      </c>
      <c r="B15" s="39">
        <f>_xlfn.XLOOKUP(Log_Atkinson14526[[#This Row],[Machine ]], PriceTable[Machine], PriceTable[$/Unit], "")</f>
        <v>0.1</v>
      </c>
      <c r="C15" s="25">
        <v>9</v>
      </c>
      <c r="D15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15" s="23" t="s">
        <v>211</v>
      </c>
      <c r="F15" s="24"/>
      <c r="G15" s="25" t="s">
        <v>180</v>
      </c>
      <c r="H15" s="26">
        <v>46084</v>
      </c>
      <c r="I15" s="24">
        <v>226</v>
      </c>
      <c r="J15" s="24" t="s">
        <v>30</v>
      </c>
      <c r="K15" s="24" t="s">
        <v>20</v>
      </c>
    </row>
    <row r="16" spans="1:11" ht="15.75">
      <c r="A16" s="36" t="s">
        <v>16</v>
      </c>
      <c r="B16" s="37">
        <f>_xlfn.XLOOKUP(Log_Atkinson14526[[#This Row],[Machine ]], PriceTable[Machine], PriceTable[$/Unit], "")</f>
        <v>0.1</v>
      </c>
      <c r="C16" s="29">
        <v>17</v>
      </c>
      <c r="D16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16" s="27" t="s">
        <v>214</v>
      </c>
      <c r="F16" s="62"/>
      <c r="G16" s="29" t="s">
        <v>176</v>
      </c>
      <c r="H16" s="30">
        <v>46084</v>
      </c>
      <c r="I16" s="28">
        <v>227</v>
      </c>
      <c r="J16" s="24" t="s">
        <v>30</v>
      </c>
      <c r="K16" s="28" t="s">
        <v>20</v>
      </c>
    </row>
    <row r="17" spans="1:11" ht="15.75">
      <c r="A17" s="36" t="s">
        <v>16</v>
      </c>
      <c r="B17" s="39">
        <f>_xlfn.XLOOKUP(Log_Atkinson14526[[#This Row],[Machine ]], PriceTable[Machine], PriceTable[$/Unit], "")</f>
        <v>0.1</v>
      </c>
      <c r="C17" s="25">
        <v>195</v>
      </c>
      <c r="D17" s="38">
        <f>IF(OR(Log_Atkinson14526[[#This Row],[Machine ]]="", Log_Atkinson14526[[#This Row],[Unit Amount]]=""), "", IFERROR(MAX(Log_Atkinson14526[[#This Row],[Unit Amount]] * Log_Atkinson14526[[#This Row],[$/Unit]], 3), ""))</f>
        <v>19.5</v>
      </c>
      <c r="E17" s="23" t="s">
        <v>190</v>
      </c>
      <c r="F17" s="24"/>
      <c r="G17" s="25" t="s">
        <v>176</v>
      </c>
      <c r="H17" s="26">
        <v>46084</v>
      </c>
      <c r="I17" s="24">
        <v>228</v>
      </c>
      <c r="J17" s="24" t="s">
        <v>47</v>
      </c>
      <c r="K17" s="24" t="s">
        <v>20</v>
      </c>
    </row>
    <row r="18" spans="1:11" ht="15.75">
      <c r="A18" s="36" t="s">
        <v>16</v>
      </c>
      <c r="B18" s="37">
        <f>_xlfn.XLOOKUP(Log_Atkinson14526[[#This Row],[Machine ]], PriceTable[Machine], PriceTable[$/Unit], "")</f>
        <v>0.1</v>
      </c>
      <c r="C18" s="29">
        <v>23</v>
      </c>
      <c r="D18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18" s="27" t="s">
        <v>215</v>
      </c>
      <c r="F18" s="28"/>
      <c r="G18" s="29" t="s">
        <v>64</v>
      </c>
      <c r="H18" s="30">
        <v>46084</v>
      </c>
      <c r="I18" s="28">
        <v>229</v>
      </c>
      <c r="J18" s="24" t="s">
        <v>30</v>
      </c>
      <c r="K18" s="28" t="s">
        <v>20</v>
      </c>
    </row>
    <row r="19" spans="1:11" ht="15.75">
      <c r="A19" s="36" t="s">
        <v>16</v>
      </c>
      <c r="B19" s="39">
        <f>_xlfn.XLOOKUP(Log_Atkinson14526[[#This Row],[Machine ]], PriceTable[Machine], PriceTable[$/Unit], "")</f>
        <v>0.1</v>
      </c>
      <c r="C19" s="25">
        <v>229</v>
      </c>
      <c r="D19" s="38">
        <f>IF(OR(Log_Atkinson14526[[#This Row],[Machine ]]="", Log_Atkinson14526[[#This Row],[Unit Amount]]=""), "", IFERROR(MAX(Log_Atkinson14526[[#This Row],[Unit Amount]] * Log_Atkinson14526[[#This Row],[$/Unit]], 3), ""))</f>
        <v>22.900000000000002</v>
      </c>
      <c r="E19" s="23" t="s">
        <v>208</v>
      </c>
      <c r="F19" s="24"/>
      <c r="G19" s="25" t="s">
        <v>176</v>
      </c>
      <c r="H19" s="26">
        <v>46084</v>
      </c>
      <c r="I19" s="24">
        <v>230</v>
      </c>
      <c r="J19" s="24" t="s">
        <v>30</v>
      </c>
      <c r="K19" s="24" t="s">
        <v>20</v>
      </c>
    </row>
    <row r="20" spans="1:11" ht="15.75">
      <c r="A20" s="36" t="s">
        <v>16</v>
      </c>
      <c r="B20" s="37">
        <f>_xlfn.XLOOKUP(Log_Atkinson14526[[#This Row],[Machine ]], PriceTable[Machine], PriceTable[$/Unit], "")</f>
        <v>0.1</v>
      </c>
      <c r="C20" s="29">
        <v>159</v>
      </c>
      <c r="D20" s="38">
        <f>IF(OR(Log_Atkinson14526[[#This Row],[Machine ]]="", Log_Atkinson14526[[#This Row],[Unit Amount]]=""), "", IFERROR(MAX(Log_Atkinson14526[[#This Row],[Unit Amount]] * Log_Atkinson14526[[#This Row],[$/Unit]], 3), ""))</f>
        <v>15.9</v>
      </c>
      <c r="E20" s="27" t="s">
        <v>177</v>
      </c>
      <c r="F20" s="28"/>
      <c r="G20" s="29" t="s">
        <v>180</v>
      </c>
      <c r="H20" s="30">
        <v>46085</v>
      </c>
      <c r="I20" s="28">
        <v>231</v>
      </c>
      <c r="J20" s="24" t="s">
        <v>23</v>
      </c>
      <c r="K20" s="28" t="s">
        <v>20</v>
      </c>
    </row>
    <row r="21" spans="1:11" ht="15.75">
      <c r="A21" s="36" t="s">
        <v>16</v>
      </c>
      <c r="B21" s="39">
        <f>_xlfn.XLOOKUP(Log_Atkinson14526[[#This Row],[Machine ]], PriceTable[Machine], PriceTable[$/Unit], "")</f>
        <v>0.1</v>
      </c>
      <c r="C21" s="25">
        <v>107</v>
      </c>
      <c r="D21" s="38">
        <f>IF(OR(Log_Atkinson14526[[#This Row],[Machine ]]="", Log_Atkinson14526[[#This Row],[Unit Amount]]=""), "", IFERROR(MAX(Log_Atkinson14526[[#This Row],[Unit Amount]] * Log_Atkinson14526[[#This Row],[$/Unit]], 3), ""))</f>
        <v>10.700000000000001</v>
      </c>
      <c r="E21" s="23" t="s">
        <v>215</v>
      </c>
      <c r="F21" s="24"/>
      <c r="G21" s="25" t="s">
        <v>180</v>
      </c>
      <c r="H21" s="26">
        <v>46085</v>
      </c>
      <c r="I21" s="24">
        <v>232</v>
      </c>
      <c r="J21" s="24" t="s">
        <v>23</v>
      </c>
      <c r="K21" s="24" t="s">
        <v>20</v>
      </c>
    </row>
    <row r="22" spans="1:11" ht="15.75">
      <c r="A22" s="36" t="s">
        <v>16</v>
      </c>
      <c r="B22" s="37">
        <f>_xlfn.XLOOKUP(Log_Atkinson14526[[#This Row],[Machine ]], PriceTable[Machine], PriceTable[$/Unit], "")</f>
        <v>0.1</v>
      </c>
      <c r="C22" s="29">
        <v>49</v>
      </c>
      <c r="D22" s="38">
        <f>IF(OR(Log_Atkinson14526[[#This Row],[Machine ]]="", Log_Atkinson14526[[#This Row],[Unit Amount]]=""), "", IFERROR(MAX(Log_Atkinson14526[[#This Row],[Unit Amount]] * Log_Atkinson14526[[#This Row],[$/Unit]], 3), ""))</f>
        <v>4.9000000000000004</v>
      </c>
      <c r="E22" s="27" t="s">
        <v>194</v>
      </c>
      <c r="F22" s="28"/>
      <c r="G22" s="29" t="s">
        <v>180</v>
      </c>
      <c r="H22" s="30">
        <v>46085</v>
      </c>
      <c r="I22" s="28">
        <v>233</v>
      </c>
      <c r="J22" s="24" t="s">
        <v>23</v>
      </c>
      <c r="K22" s="28" t="s">
        <v>20</v>
      </c>
    </row>
    <row r="23" spans="1:11" ht="15.75">
      <c r="A23" s="36" t="s">
        <v>16</v>
      </c>
      <c r="B23" s="39">
        <f>_xlfn.XLOOKUP(Log_Atkinson14526[[#This Row],[Machine ]], PriceTable[Machine], PriceTable[$/Unit], "")</f>
        <v>0.1</v>
      </c>
      <c r="C23" s="25">
        <v>45</v>
      </c>
      <c r="D23" s="38">
        <f>IF(OR(Log_Atkinson14526[[#This Row],[Machine ]]="", Log_Atkinson14526[[#This Row],[Unit Amount]]=""), "", IFERROR(MAX(Log_Atkinson14526[[#This Row],[Unit Amount]] * Log_Atkinson14526[[#This Row],[$/Unit]], 3), ""))</f>
        <v>4.5</v>
      </c>
      <c r="E23" s="23" t="s">
        <v>196</v>
      </c>
      <c r="F23" s="24"/>
      <c r="G23" s="25" t="s">
        <v>180</v>
      </c>
      <c r="H23" s="26">
        <v>46085</v>
      </c>
      <c r="I23" s="24">
        <v>234</v>
      </c>
      <c r="J23" s="24" t="s">
        <v>40</v>
      </c>
      <c r="K23" s="24" t="s">
        <v>20</v>
      </c>
    </row>
    <row r="24" spans="1:11" ht="15.75">
      <c r="A24" s="36" t="s">
        <v>16</v>
      </c>
      <c r="B24" s="37">
        <f>_xlfn.XLOOKUP(Log_Atkinson14526[[#This Row],[Machine ]], PriceTable[Machine], PriceTable[$/Unit], "")</f>
        <v>0.1</v>
      </c>
      <c r="C24" s="29">
        <v>213</v>
      </c>
      <c r="D24" s="38">
        <f>IF(OR(Log_Atkinson14526[[#This Row],[Machine ]]="", Log_Atkinson14526[[#This Row],[Unit Amount]]=""), "", IFERROR(MAX(Log_Atkinson14526[[#This Row],[Unit Amount]] * Log_Atkinson14526[[#This Row],[$/Unit]], 3), ""))</f>
        <v>21.3</v>
      </c>
      <c r="E24" s="27" t="s">
        <v>216</v>
      </c>
      <c r="F24" s="28"/>
      <c r="G24" s="29" t="s">
        <v>180</v>
      </c>
      <c r="H24" s="30">
        <v>46085</v>
      </c>
      <c r="I24" s="28">
        <v>235</v>
      </c>
      <c r="J24" s="24" t="s">
        <v>23</v>
      </c>
      <c r="K24" s="28" t="s">
        <v>20</v>
      </c>
    </row>
    <row r="25" spans="1:11" ht="15.75">
      <c r="A25" s="36" t="s">
        <v>16</v>
      </c>
      <c r="B25" s="39">
        <f>_xlfn.XLOOKUP(Log_Atkinson14526[[#This Row],[Machine ]], PriceTable[Machine], PriceTable[$/Unit], "")</f>
        <v>0.1</v>
      </c>
      <c r="C25" s="25">
        <v>364</v>
      </c>
      <c r="D25" s="38">
        <v>36.4</v>
      </c>
      <c r="E25" s="23" t="s">
        <v>187</v>
      </c>
      <c r="F25" s="24"/>
      <c r="G25" s="25" t="s">
        <v>180</v>
      </c>
      <c r="H25" s="26">
        <v>46085</v>
      </c>
      <c r="I25" s="24">
        <v>236</v>
      </c>
      <c r="J25" s="24" t="s">
        <v>23</v>
      </c>
      <c r="K25" s="24" t="s">
        <v>20</v>
      </c>
    </row>
    <row r="26" spans="1:11" ht="15.75">
      <c r="A26" s="36" t="s">
        <v>16</v>
      </c>
      <c r="B26" s="37">
        <f>_xlfn.XLOOKUP(Log_Atkinson14526[[#This Row],[Machine ]], PriceTable[Machine], PriceTable[$/Unit], "")</f>
        <v>0.1</v>
      </c>
      <c r="C26" s="29">
        <v>304</v>
      </c>
      <c r="D26" s="38">
        <f>IF(OR(Log_Atkinson14526[[#This Row],[Machine ]]="", Log_Atkinson14526[[#This Row],[Unit Amount]]=""), "", IFERROR(MAX(Log_Atkinson14526[[#This Row],[Unit Amount]] * Log_Atkinson14526[[#This Row],[$/Unit]], 3), ""))</f>
        <v>30.400000000000002</v>
      </c>
      <c r="E26" s="27" t="s">
        <v>188</v>
      </c>
      <c r="F26" s="28"/>
      <c r="G26" s="29" t="s">
        <v>180</v>
      </c>
      <c r="H26" s="30">
        <v>46085</v>
      </c>
      <c r="I26" s="28">
        <v>237</v>
      </c>
      <c r="J26" s="24" t="s">
        <v>23</v>
      </c>
      <c r="K26" s="28" t="s">
        <v>20</v>
      </c>
    </row>
    <row r="27" spans="1:11" ht="15.75">
      <c r="A27" s="36" t="s">
        <v>16</v>
      </c>
      <c r="B27" s="39">
        <f>_xlfn.XLOOKUP(Log_Atkinson14526[[#This Row],[Machine ]], PriceTable[Machine], PriceTable[$/Unit], "")</f>
        <v>0.1</v>
      </c>
      <c r="C27" s="25">
        <v>28</v>
      </c>
      <c r="D27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27" s="23" t="s">
        <v>212</v>
      </c>
      <c r="F27" s="24"/>
      <c r="G27" s="25" t="s">
        <v>180</v>
      </c>
      <c r="H27" s="26">
        <v>46085</v>
      </c>
      <c r="I27" s="24">
        <v>238</v>
      </c>
      <c r="J27" s="24" t="s">
        <v>174</v>
      </c>
      <c r="K27" s="24" t="s">
        <v>20</v>
      </c>
    </row>
    <row r="28" spans="1:11" ht="15.75">
      <c r="A28" s="36" t="s">
        <v>16</v>
      </c>
      <c r="B28" s="37">
        <f>_xlfn.XLOOKUP(Log_Atkinson14526[[#This Row],[Machine ]], PriceTable[Machine], PriceTable[$/Unit], "")</f>
        <v>0.1</v>
      </c>
      <c r="C28" s="29">
        <v>71</v>
      </c>
      <c r="D28" s="38">
        <f>IF(OR(Log_Atkinson14526[[#This Row],[Machine ]]="", Log_Atkinson14526[[#This Row],[Unit Amount]]=""), "", IFERROR(MAX(Log_Atkinson14526[[#This Row],[Unit Amount]] * Log_Atkinson14526[[#This Row],[$/Unit]], 3), ""))</f>
        <v>7.1000000000000005</v>
      </c>
      <c r="E28" s="27" t="s">
        <v>217</v>
      </c>
      <c r="F28" s="28"/>
      <c r="G28" s="29" t="s">
        <v>180</v>
      </c>
      <c r="H28" s="30">
        <v>46085</v>
      </c>
      <c r="I28" s="28">
        <v>239</v>
      </c>
      <c r="J28" s="24" t="s">
        <v>23</v>
      </c>
      <c r="K28" s="28" t="s">
        <v>20</v>
      </c>
    </row>
    <row r="29" spans="1:11" ht="15.75">
      <c r="A29" s="36" t="s">
        <v>16</v>
      </c>
      <c r="B29" s="39">
        <f>_xlfn.XLOOKUP(Log_Atkinson14526[[#This Row],[Machine ]], PriceTable[Machine], PriceTable[$/Unit], "")</f>
        <v>0.1</v>
      </c>
      <c r="C29" s="25">
        <v>15</v>
      </c>
      <c r="D29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29" s="23" t="s">
        <v>218</v>
      </c>
      <c r="F29" s="24"/>
      <c r="G29" s="25" t="s">
        <v>180</v>
      </c>
      <c r="H29" s="26">
        <v>46085</v>
      </c>
      <c r="I29" s="24">
        <v>240</v>
      </c>
      <c r="J29" s="24" t="s">
        <v>23</v>
      </c>
      <c r="K29" s="24" t="s">
        <v>20</v>
      </c>
    </row>
    <row r="30" spans="1:11" ht="15.75">
      <c r="A30" s="36" t="s">
        <v>16</v>
      </c>
      <c r="B30" s="37">
        <f>_xlfn.XLOOKUP(Log_Atkinson14526[[#This Row],[Machine ]], PriceTable[Machine], PriceTable[$/Unit], "")</f>
        <v>0.1</v>
      </c>
      <c r="C30" s="29">
        <v>295</v>
      </c>
      <c r="D30" s="38">
        <f>IF(OR(Log_Atkinson14526[[#This Row],[Machine ]]="", Log_Atkinson14526[[#This Row],[Unit Amount]]=""), "", IFERROR(MAX(Log_Atkinson14526[[#This Row],[Unit Amount]] * Log_Atkinson14526[[#This Row],[$/Unit]], 3), ""))</f>
        <v>29.5</v>
      </c>
      <c r="E30" s="27" t="s">
        <v>205</v>
      </c>
      <c r="F30" s="28"/>
      <c r="G30" s="29" t="s">
        <v>180</v>
      </c>
      <c r="H30" s="30">
        <v>46085</v>
      </c>
      <c r="I30" s="28">
        <v>241</v>
      </c>
      <c r="J30" s="24" t="s">
        <v>156</v>
      </c>
      <c r="K30" s="28" t="s">
        <v>20</v>
      </c>
    </row>
    <row r="31" spans="1:11" ht="15.75">
      <c r="A31" s="36" t="s">
        <v>16</v>
      </c>
      <c r="B31" s="39">
        <f>_xlfn.XLOOKUP(Log_Atkinson14526[[#This Row],[Machine ]], PriceTable[Machine], PriceTable[$/Unit], "")</f>
        <v>0.1</v>
      </c>
      <c r="C31" s="25">
        <v>139</v>
      </c>
      <c r="D31" s="38">
        <f>IF(OR(Log_Atkinson14526[[#This Row],[Machine ]]="", Log_Atkinson14526[[#This Row],[Unit Amount]]=""), "", IFERROR(MAX(Log_Atkinson14526[[#This Row],[Unit Amount]] * Log_Atkinson14526[[#This Row],[$/Unit]], 3), ""))</f>
        <v>13.9</v>
      </c>
      <c r="E31" s="23" t="s">
        <v>219</v>
      </c>
      <c r="F31" s="24"/>
      <c r="G31" s="25" t="s">
        <v>180</v>
      </c>
      <c r="H31" s="26">
        <v>46085</v>
      </c>
      <c r="I31" s="24">
        <v>242</v>
      </c>
      <c r="J31" s="24" t="s">
        <v>47</v>
      </c>
      <c r="K31" s="24" t="s">
        <v>20</v>
      </c>
    </row>
    <row r="32" spans="1:11" ht="15.75">
      <c r="A32" s="36" t="s">
        <v>16</v>
      </c>
      <c r="B32" s="37">
        <f>_xlfn.XLOOKUP(Log_Atkinson14526[[#This Row],[Machine ]], PriceTable[Machine], PriceTable[$/Unit], "")</f>
        <v>0.1</v>
      </c>
      <c r="C32" s="29">
        <v>147</v>
      </c>
      <c r="D32" s="38">
        <f>IF(OR(Log_Atkinson14526[[#This Row],[Machine ]]="", Log_Atkinson14526[[#This Row],[Unit Amount]]=""), "", IFERROR(MAX(Log_Atkinson14526[[#This Row],[Unit Amount]] * Log_Atkinson14526[[#This Row],[$/Unit]], 3), ""))</f>
        <v>14.700000000000001</v>
      </c>
      <c r="E32" s="27" t="s">
        <v>220</v>
      </c>
      <c r="F32" s="28"/>
      <c r="G32" s="29" t="s">
        <v>221</v>
      </c>
      <c r="H32" s="30">
        <v>46086</v>
      </c>
      <c r="I32" s="28">
        <v>243</v>
      </c>
      <c r="J32" s="24" t="s">
        <v>181</v>
      </c>
      <c r="K32" s="28" t="s">
        <v>20</v>
      </c>
    </row>
    <row r="33" spans="1:11" ht="15.75">
      <c r="A33" s="36" t="s">
        <v>16</v>
      </c>
      <c r="B33" s="39">
        <f>_xlfn.XLOOKUP(Log_Atkinson14526[[#This Row],[Machine ]], PriceTable[Machine], PriceTable[$/Unit], "")</f>
        <v>0.1</v>
      </c>
      <c r="C33" s="25">
        <v>18</v>
      </c>
      <c r="D33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33" s="23" t="s">
        <v>222</v>
      </c>
      <c r="F33" s="24"/>
      <c r="G33" s="25" t="s">
        <v>176</v>
      </c>
      <c r="H33" s="26">
        <v>46086</v>
      </c>
      <c r="I33" s="24">
        <v>244</v>
      </c>
      <c r="J33" s="24" t="s">
        <v>168</v>
      </c>
      <c r="K33" s="24" t="s">
        <v>20</v>
      </c>
    </row>
    <row r="34" spans="1:11" ht="15.75">
      <c r="A34" s="36" t="s">
        <v>16</v>
      </c>
      <c r="B34" s="37">
        <f>_xlfn.XLOOKUP(Log_Atkinson14526[[#This Row],[Machine ]], PriceTable[Machine], PriceTable[$/Unit], "")</f>
        <v>0.1</v>
      </c>
      <c r="C34" s="29">
        <v>96</v>
      </c>
      <c r="D34" s="38">
        <f>IF(OR(Log_Atkinson14526[[#This Row],[Machine ]]="", Log_Atkinson14526[[#This Row],[Unit Amount]]=""), "", IFERROR(MAX(Log_Atkinson14526[[#This Row],[Unit Amount]] * Log_Atkinson14526[[#This Row],[$/Unit]], 3), ""))</f>
        <v>9.6000000000000014</v>
      </c>
      <c r="E34" s="27" t="s">
        <v>200</v>
      </c>
      <c r="F34" s="28"/>
      <c r="G34" s="29" t="s">
        <v>176</v>
      </c>
      <c r="H34" s="30">
        <v>46086</v>
      </c>
      <c r="I34" s="28">
        <v>245</v>
      </c>
      <c r="J34" s="24" t="s">
        <v>168</v>
      </c>
      <c r="K34" s="28" t="s">
        <v>20</v>
      </c>
    </row>
    <row r="35" spans="1:11" ht="15.75">
      <c r="A35" s="36" t="s">
        <v>16</v>
      </c>
      <c r="B35" s="39">
        <f>_xlfn.XLOOKUP(Log_Atkinson14526[[#This Row],[Machine ]], PriceTable[Machine], PriceTable[$/Unit], "")</f>
        <v>0.1</v>
      </c>
      <c r="C35" s="25">
        <v>250</v>
      </c>
      <c r="D35" s="38">
        <f>IF(OR(Log_Atkinson14526[[#This Row],[Machine ]]="", Log_Atkinson14526[[#This Row],[Unit Amount]]=""), "", IFERROR(MAX(Log_Atkinson14526[[#This Row],[Unit Amount]] * Log_Atkinson14526[[#This Row],[$/Unit]], 3), ""))</f>
        <v>25</v>
      </c>
      <c r="E35" s="23" t="s">
        <v>223</v>
      </c>
      <c r="F35" s="24"/>
      <c r="G35" s="29" t="s">
        <v>176</v>
      </c>
      <c r="H35" s="30">
        <v>46086</v>
      </c>
      <c r="I35" s="24">
        <v>246</v>
      </c>
      <c r="J35" s="24" t="s">
        <v>67</v>
      </c>
      <c r="K35" s="24" t="s">
        <v>20</v>
      </c>
    </row>
    <row r="36" spans="1:11" ht="15.75">
      <c r="A36" s="36" t="s">
        <v>16</v>
      </c>
      <c r="B36" s="37">
        <f>_xlfn.XLOOKUP(Log_Atkinson14526[[#This Row],[Machine ]], PriceTable[Machine], PriceTable[$/Unit], "")</f>
        <v>0.1</v>
      </c>
      <c r="C36" s="29">
        <v>87</v>
      </c>
      <c r="D36" s="38">
        <f>IF(OR(Log_Atkinson14526[[#This Row],[Machine ]]="", Log_Atkinson14526[[#This Row],[Unit Amount]]=""), "", IFERROR(MAX(Log_Atkinson14526[[#This Row],[Unit Amount]] * Log_Atkinson14526[[#This Row],[$/Unit]], 3), ""))</f>
        <v>8.7000000000000011</v>
      </c>
      <c r="E36" s="27" t="s">
        <v>224</v>
      </c>
      <c r="F36" s="28"/>
      <c r="G36" s="29" t="s">
        <v>221</v>
      </c>
      <c r="H36" s="30">
        <v>46086</v>
      </c>
      <c r="I36" s="28">
        <v>247</v>
      </c>
      <c r="J36" s="24" t="s">
        <v>168</v>
      </c>
      <c r="K36" s="28" t="s">
        <v>20</v>
      </c>
    </row>
    <row r="37" spans="1:11" ht="15.75">
      <c r="A37" s="36" t="s">
        <v>16</v>
      </c>
      <c r="B37" s="39">
        <f>_xlfn.XLOOKUP(Log_Atkinson14526[[#This Row],[Machine ]], PriceTable[Machine], PriceTable[$/Unit], "")</f>
        <v>0.1</v>
      </c>
      <c r="C37" s="25">
        <v>204</v>
      </c>
      <c r="D37" s="38">
        <f>IF(OR(Log_Atkinson14526[[#This Row],[Machine ]]="", Log_Atkinson14526[[#This Row],[Unit Amount]]=""), "", IFERROR(MAX(Log_Atkinson14526[[#This Row],[Unit Amount]] * Log_Atkinson14526[[#This Row],[$/Unit]], 3), ""))</f>
        <v>20.400000000000002</v>
      </c>
      <c r="E37" s="23" t="s">
        <v>225</v>
      </c>
      <c r="F37" s="24"/>
      <c r="G37" s="25" t="s">
        <v>221</v>
      </c>
      <c r="H37" s="26">
        <v>46086</v>
      </c>
      <c r="I37" s="24">
        <v>248</v>
      </c>
      <c r="J37" s="24" t="s">
        <v>168</v>
      </c>
      <c r="K37" s="24" t="s">
        <v>20</v>
      </c>
    </row>
    <row r="38" spans="1:11" ht="15.75">
      <c r="A38" s="36" t="s">
        <v>155</v>
      </c>
      <c r="B38" s="37">
        <f>_xlfn.XLOOKUP(Log_Atkinson14526[[#This Row],[Machine ]], PriceTable[Machine], PriceTable[$/Unit], "")</f>
        <v>0.3</v>
      </c>
      <c r="C38" s="29">
        <v>140</v>
      </c>
      <c r="D38" s="38">
        <f>IF(OR(Log_Atkinson14526[[#This Row],[Machine ]]="", Log_Atkinson14526[[#This Row],[Unit Amount]]=""), "", IFERROR(MAX(Log_Atkinson14526[[#This Row],[Unit Amount]] * Log_Atkinson14526[[#This Row],[$/Unit]], 3), ""))</f>
        <v>42</v>
      </c>
      <c r="E38" s="27" t="s">
        <v>226</v>
      </c>
      <c r="F38" s="28"/>
      <c r="G38" s="29" t="s">
        <v>64</v>
      </c>
      <c r="H38" s="30">
        <v>46087</v>
      </c>
      <c r="I38" s="28">
        <v>249</v>
      </c>
      <c r="J38" s="24" t="s">
        <v>23</v>
      </c>
      <c r="K38" s="28" t="s">
        <v>20</v>
      </c>
    </row>
    <row r="39" spans="1:11" ht="15.75">
      <c r="A39" s="36" t="s">
        <v>16</v>
      </c>
      <c r="B39" s="39">
        <f>_xlfn.XLOOKUP(Log_Atkinson14526[[#This Row],[Machine ]], PriceTable[Machine], PriceTable[$/Unit], "")</f>
        <v>0.1</v>
      </c>
      <c r="C39" s="25">
        <v>121</v>
      </c>
      <c r="D39" s="38">
        <f>IF(OR(Log_Atkinson14526[[#This Row],[Machine ]]="", Log_Atkinson14526[[#This Row],[Unit Amount]]=""), "", IFERROR(MAX(Log_Atkinson14526[[#This Row],[Unit Amount]] * Log_Atkinson14526[[#This Row],[$/Unit]], 3), ""))</f>
        <v>12.100000000000001</v>
      </c>
      <c r="E39" s="23" t="s">
        <v>227</v>
      </c>
      <c r="F39" s="24"/>
      <c r="G39" s="25" t="s">
        <v>221</v>
      </c>
      <c r="H39" s="26">
        <v>46087</v>
      </c>
      <c r="I39" s="24">
        <v>250</v>
      </c>
      <c r="J39" s="24" t="s">
        <v>156</v>
      </c>
      <c r="K39" s="24" t="s">
        <v>20</v>
      </c>
    </row>
    <row r="40" spans="1:11" ht="15.75">
      <c r="A40" s="36" t="s">
        <v>16</v>
      </c>
      <c r="B40" s="37">
        <f>_xlfn.XLOOKUP(Log_Atkinson14526[[#This Row],[Machine ]], PriceTable[Machine], PriceTable[$/Unit], "")</f>
        <v>0.1</v>
      </c>
      <c r="C40" s="29">
        <v>89</v>
      </c>
      <c r="D40" s="38">
        <f>IF(OR(Log_Atkinson14526[[#This Row],[Machine ]]="", Log_Atkinson14526[[#This Row],[Unit Amount]]=""), "", IFERROR(MAX(Log_Atkinson14526[[#This Row],[Unit Amount]] * Log_Atkinson14526[[#This Row],[$/Unit]], 3), ""))</f>
        <v>8.9</v>
      </c>
      <c r="E40" s="27" t="s">
        <v>228</v>
      </c>
      <c r="F40" s="28"/>
      <c r="G40" s="29" t="s">
        <v>221</v>
      </c>
      <c r="H40" s="30">
        <v>46087</v>
      </c>
      <c r="I40" s="28">
        <v>251</v>
      </c>
      <c r="J40" s="24" t="s">
        <v>156</v>
      </c>
      <c r="K40" s="28" t="s">
        <v>20</v>
      </c>
    </row>
    <row r="41" spans="1:11" ht="15.75">
      <c r="A41" s="36" t="s">
        <v>16</v>
      </c>
      <c r="B41" s="39">
        <f>_xlfn.XLOOKUP(Log_Atkinson14526[[#This Row],[Machine ]], PriceTable[Machine], PriceTable[$/Unit], "")</f>
        <v>0.1</v>
      </c>
      <c r="C41" s="25">
        <v>25</v>
      </c>
      <c r="D41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41" s="23" t="s">
        <v>218</v>
      </c>
      <c r="F41" s="24"/>
      <c r="G41" s="25" t="s">
        <v>221</v>
      </c>
      <c r="H41" s="26">
        <v>46087</v>
      </c>
      <c r="I41" s="24">
        <v>252</v>
      </c>
      <c r="J41" s="24" t="s">
        <v>156</v>
      </c>
      <c r="K41" s="24" t="s">
        <v>20</v>
      </c>
    </row>
    <row r="42" spans="1:11" ht="15.75">
      <c r="A42" s="36" t="s">
        <v>16</v>
      </c>
      <c r="B42" s="37">
        <f>_xlfn.XLOOKUP(Log_Atkinson14526[[#This Row],[Machine ]], PriceTable[Machine], PriceTable[$/Unit], "")</f>
        <v>0.1</v>
      </c>
      <c r="C42" s="29">
        <v>113</v>
      </c>
      <c r="D42" s="38">
        <f>IF(OR(Log_Atkinson14526[[#This Row],[Machine ]]="", Log_Atkinson14526[[#This Row],[Unit Amount]]=""), "", IFERROR(MAX(Log_Atkinson14526[[#This Row],[Unit Amount]] * Log_Atkinson14526[[#This Row],[$/Unit]], 3), ""))</f>
        <v>11.3</v>
      </c>
      <c r="E42" s="27" t="s">
        <v>229</v>
      </c>
      <c r="F42" s="28"/>
      <c r="G42" s="29" t="s">
        <v>221</v>
      </c>
      <c r="H42" s="30">
        <v>46087</v>
      </c>
      <c r="I42" s="28">
        <v>253</v>
      </c>
      <c r="J42" s="24" t="s">
        <v>156</v>
      </c>
      <c r="K42" s="28" t="s">
        <v>20</v>
      </c>
    </row>
    <row r="43" spans="1:11" ht="15.75">
      <c r="A43" s="36" t="s">
        <v>16</v>
      </c>
      <c r="B43" s="39">
        <f>_xlfn.XLOOKUP(Log_Atkinson14526[[#This Row],[Machine ]], PriceTable[Machine], PriceTable[$/Unit], "")</f>
        <v>0.1</v>
      </c>
      <c r="C43" s="25">
        <v>73</v>
      </c>
      <c r="D43" s="38">
        <f>IF(OR(Log_Atkinson14526[[#This Row],[Machine ]]="", Log_Atkinson14526[[#This Row],[Unit Amount]]=""), "", IFERROR(MAX(Log_Atkinson14526[[#This Row],[Unit Amount]] * Log_Atkinson14526[[#This Row],[$/Unit]], 3), ""))</f>
        <v>7.3000000000000007</v>
      </c>
      <c r="E43" s="23" t="s">
        <v>230</v>
      </c>
      <c r="F43" s="24"/>
      <c r="G43" s="25" t="s">
        <v>221</v>
      </c>
      <c r="H43" s="26">
        <v>46087</v>
      </c>
      <c r="I43" s="24">
        <v>254</v>
      </c>
      <c r="J43" s="24" t="s">
        <v>156</v>
      </c>
      <c r="K43" s="24" t="s">
        <v>20</v>
      </c>
    </row>
    <row r="44" spans="1:11" ht="15.75">
      <c r="A44" s="36" t="s">
        <v>16</v>
      </c>
      <c r="B44" s="37">
        <f>_xlfn.XLOOKUP(Log_Atkinson14526[[#This Row],[Machine ]], PriceTable[Machine], PriceTable[$/Unit], "")</f>
        <v>0.1</v>
      </c>
      <c r="C44" s="29">
        <v>190</v>
      </c>
      <c r="D44" s="38">
        <f>IF(OR(Log_Atkinson14526[[#This Row],[Machine ]]="", Log_Atkinson14526[[#This Row],[Unit Amount]]=""), "", IFERROR(MAX(Log_Atkinson14526[[#This Row],[Unit Amount]] * Log_Atkinson14526[[#This Row],[$/Unit]], 3), ""))</f>
        <v>19</v>
      </c>
      <c r="E44" s="27" t="s">
        <v>231</v>
      </c>
      <c r="F44" s="28"/>
      <c r="G44" s="29" t="s">
        <v>221</v>
      </c>
      <c r="H44" s="30">
        <v>46087</v>
      </c>
      <c r="I44" s="28">
        <v>255</v>
      </c>
      <c r="J44" s="24" t="s">
        <v>156</v>
      </c>
      <c r="K44" s="28" t="s">
        <v>20</v>
      </c>
    </row>
    <row r="45" spans="1:11" ht="15.75">
      <c r="A45" s="36" t="s">
        <v>16</v>
      </c>
      <c r="B45" s="39">
        <f>_xlfn.XLOOKUP(Log_Atkinson14526[[#This Row],[Machine ]], PriceTable[Machine], PriceTable[$/Unit], "")</f>
        <v>0.1</v>
      </c>
      <c r="C45" s="25">
        <v>91</v>
      </c>
      <c r="D45" s="38">
        <f>IF(OR(Log_Atkinson14526[[#This Row],[Machine ]]="", Log_Atkinson14526[[#This Row],[Unit Amount]]=""), "", IFERROR(MAX(Log_Atkinson14526[[#This Row],[Unit Amount]] * Log_Atkinson14526[[#This Row],[$/Unit]], 3), ""))</f>
        <v>9.1</v>
      </c>
      <c r="E45" s="23" t="s">
        <v>232</v>
      </c>
      <c r="F45" s="24"/>
      <c r="G45" s="25" t="s">
        <v>221</v>
      </c>
      <c r="H45" s="26">
        <v>46087</v>
      </c>
      <c r="I45" s="24">
        <v>256</v>
      </c>
      <c r="J45" s="24" t="s">
        <v>156</v>
      </c>
      <c r="K45" s="24" t="s">
        <v>20</v>
      </c>
    </row>
    <row r="46" spans="1:11" ht="15.75">
      <c r="A46" s="36" t="s">
        <v>16</v>
      </c>
      <c r="B46" s="37">
        <f>_xlfn.XLOOKUP(Log_Atkinson14526[[#This Row],[Machine ]], PriceTable[Machine], PriceTable[$/Unit], "")</f>
        <v>0.1</v>
      </c>
      <c r="C46" s="29">
        <v>63</v>
      </c>
      <c r="D46" s="38">
        <f>IF(OR(Log_Atkinson14526[[#This Row],[Machine ]]="", Log_Atkinson14526[[#This Row],[Unit Amount]]=""), "", IFERROR(MAX(Log_Atkinson14526[[#This Row],[Unit Amount]] * Log_Atkinson14526[[#This Row],[$/Unit]], 3), ""))</f>
        <v>6.3000000000000007</v>
      </c>
      <c r="E46" s="27" t="s">
        <v>233</v>
      </c>
      <c r="F46" s="28"/>
      <c r="G46" s="29" t="s">
        <v>221</v>
      </c>
      <c r="H46" s="30">
        <v>46087</v>
      </c>
      <c r="I46" s="28">
        <v>257</v>
      </c>
      <c r="J46" s="24" t="s">
        <v>45</v>
      </c>
      <c r="K46" s="28" t="s">
        <v>20</v>
      </c>
    </row>
    <row r="47" spans="1:11" ht="15.75">
      <c r="A47" s="36" t="s">
        <v>16</v>
      </c>
      <c r="B47" s="39">
        <f>_xlfn.XLOOKUP(Log_Atkinson14526[[#This Row],[Machine ]], PriceTable[Machine], PriceTable[$/Unit], "")</f>
        <v>0.1</v>
      </c>
      <c r="C47" s="25">
        <v>146</v>
      </c>
      <c r="D47" s="38">
        <f>IF(OR(Log_Atkinson14526[[#This Row],[Machine ]]="", Log_Atkinson14526[[#This Row],[Unit Amount]]=""), "", IFERROR(MAX(Log_Atkinson14526[[#This Row],[Unit Amount]] * Log_Atkinson14526[[#This Row],[$/Unit]], 3), ""))</f>
        <v>14.600000000000001</v>
      </c>
      <c r="E47" s="23" t="s">
        <v>234</v>
      </c>
      <c r="F47" s="24"/>
      <c r="G47" s="25" t="s">
        <v>176</v>
      </c>
      <c r="H47" s="26">
        <v>46087</v>
      </c>
      <c r="I47" s="24">
        <v>258</v>
      </c>
      <c r="J47" s="24" t="s">
        <v>45</v>
      </c>
      <c r="K47" s="24" t="s">
        <v>20</v>
      </c>
    </row>
    <row r="48" spans="1:11" ht="15.75">
      <c r="A48" s="36" t="s">
        <v>16</v>
      </c>
      <c r="B48" s="37">
        <f>_xlfn.XLOOKUP(Log_Atkinson14526[[#This Row],[Machine ]], PriceTable[Machine], PriceTable[$/Unit], "")</f>
        <v>0.1</v>
      </c>
      <c r="C48" s="29">
        <v>63</v>
      </c>
      <c r="D48" s="38">
        <f>IF(OR(Log_Atkinson14526[[#This Row],[Machine ]]="", Log_Atkinson14526[[#This Row],[Unit Amount]]=""), "", IFERROR(MAX(Log_Atkinson14526[[#This Row],[Unit Amount]] * Log_Atkinson14526[[#This Row],[$/Unit]], 3), ""))</f>
        <v>6.3000000000000007</v>
      </c>
      <c r="E48" s="27" t="s">
        <v>235</v>
      </c>
      <c r="F48" s="28"/>
      <c r="G48" s="29" t="s">
        <v>176</v>
      </c>
      <c r="H48" s="30">
        <v>46087</v>
      </c>
      <c r="I48" s="28">
        <v>259</v>
      </c>
      <c r="J48" s="24" t="s">
        <v>45</v>
      </c>
      <c r="K48" s="28" t="s">
        <v>20</v>
      </c>
    </row>
    <row r="49" spans="1:11" ht="15.75">
      <c r="A49" s="36" t="s">
        <v>16</v>
      </c>
      <c r="B49" s="39">
        <f>_xlfn.XLOOKUP(Log_Atkinson14526[[#This Row],[Machine ]], PriceTable[Machine], PriceTable[$/Unit], "")</f>
        <v>0.1</v>
      </c>
      <c r="C49" s="25">
        <v>9</v>
      </c>
      <c r="D49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49" s="23" t="s">
        <v>200</v>
      </c>
      <c r="F49" s="24"/>
      <c r="G49" s="25" t="s">
        <v>176</v>
      </c>
      <c r="H49" s="26">
        <v>46087</v>
      </c>
      <c r="I49" s="24">
        <v>260</v>
      </c>
      <c r="J49" s="24" t="s">
        <v>30</v>
      </c>
      <c r="K49" s="24" t="s">
        <v>20</v>
      </c>
    </row>
    <row r="50" spans="1:11" ht="15.75">
      <c r="A50" s="36" t="s">
        <v>16</v>
      </c>
      <c r="B50" s="39">
        <f>_xlfn.XLOOKUP(Log_Atkinson14526[[#This Row],[Machine ]], PriceTable[Machine], PriceTable[$/Unit], "")</f>
        <v>0.1</v>
      </c>
      <c r="C50" s="25">
        <v>41</v>
      </c>
      <c r="D50" s="38">
        <f>IF(OR(Log_Atkinson14526[[#This Row],[Machine ]]="", Log_Atkinson14526[[#This Row],[Unit Amount]]=""), "", IFERROR(MAX(Log_Atkinson14526[[#This Row],[Unit Amount]] * Log_Atkinson14526[[#This Row],[$/Unit]], 3), ""))</f>
        <v>4.1000000000000005</v>
      </c>
      <c r="E50" s="23" t="s">
        <v>204</v>
      </c>
      <c r="F50" s="24"/>
      <c r="G50" s="25" t="s">
        <v>176</v>
      </c>
      <c r="H50" s="26">
        <v>46087</v>
      </c>
      <c r="I50" s="24">
        <v>261</v>
      </c>
      <c r="J50" s="24" t="s">
        <v>30</v>
      </c>
      <c r="K50" s="24" t="s">
        <v>20</v>
      </c>
    </row>
    <row r="51" spans="1:11" ht="15.75" customHeight="1">
      <c r="A51" s="36" t="s">
        <v>16</v>
      </c>
      <c r="B51" s="40">
        <f>_xlfn.XLOOKUP(Log_Atkinson14526[[#This Row],[Machine ]], PriceTable[Machine], PriceTable[$/Unit], "")</f>
        <v>0.1</v>
      </c>
      <c r="C51" s="25">
        <v>85</v>
      </c>
      <c r="D51" s="38">
        <f>IF(OR(Log_Atkinson14526[[#This Row],[Machine ]]="", Log_Atkinson14526[[#This Row],[Unit Amount]]=""), "", IFERROR(MAX(Log_Atkinson14526[[#This Row],[Unit Amount]] * Log_Atkinson14526[[#This Row],[$/Unit]], 3), ""))</f>
        <v>8.5</v>
      </c>
      <c r="E51" s="23" t="s">
        <v>236</v>
      </c>
      <c r="F51" s="24"/>
      <c r="G51" s="25" t="s">
        <v>176</v>
      </c>
      <c r="H51" s="26">
        <v>46087</v>
      </c>
      <c r="I51" s="24">
        <v>262</v>
      </c>
      <c r="J51" s="24" t="s">
        <v>47</v>
      </c>
      <c r="K51" s="24" t="s">
        <v>20</v>
      </c>
    </row>
    <row r="52" spans="1:11" ht="15.75">
      <c r="A52" s="36" t="s">
        <v>16</v>
      </c>
      <c r="B52" s="40">
        <f>_xlfn.XLOOKUP(Log_Atkinson14526[[#This Row],[Machine ]], PriceTable[Machine], PriceTable[$/Unit], "")</f>
        <v>0.1</v>
      </c>
      <c r="C52" s="25">
        <v>76</v>
      </c>
      <c r="D52" s="38">
        <f>IF(OR(Log_Atkinson14526[[#This Row],[Machine ]]="", Log_Atkinson14526[[#This Row],[Unit Amount]]=""), "", IFERROR(MAX(Log_Atkinson14526[[#This Row],[Unit Amount]] * Log_Atkinson14526[[#This Row],[$/Unit]], 3), ""))</f>
        <v>7.6000000000000005</v>
      </c>
      <c r="E52" s="23" t="s">
        <v>237</v>
      </c>
      <c r="F52" s="24"/>
      <c r="G52" s="25" t="s">
        <v>238</v>
      </c>
      <c r="H52" s="26">
        <v>46087</v>
      </c>
      <c r="I52" s="24">
        <v>263</v>
      </c>
      <c r="J52" s="24" t="s">
        <v>30</v>
      </c>
      <c r="K52" s="24" t="s">
        <v>20</v>
      </c>
    </row>
    <row r="53" spans="1:11" ht="15.75">
      <c r="A53" s="36" t="s">
        <v>16</v>
      </c>
      <c r="B53" s="40">
        <f>_xlfn.XLOOKUP(Log_Atkinson14526[[#This Row],[Machine ]], PriceTable[Machine], PriceTable[$/Unit], "")</f>
        <v>0.1</v>
      </c>
      <c r="C53" s="25">
        <v>309</v>
      </c>
      <c r="D53" s="38">
        <f>IF(OR(Log_Atkinson14526[[#This Row],[Machine ]]="", Log_Atkinson14526[[#This Row],[Unit Amount]]=""), "", IFERROR(MAX(Log_Atkinson14526[[#This Row],[Unit Amount]] * Log_Atkinson14526[[#This Row],[$/Unit]], 3), ""))</f>
        <v>30.900000000000002</v>
      </c>
      <c r="E53" s="23" t="s">
        <v>239</v>
      </c>
      <c r="F53" s="24"/>
      <c r="G53" s="25" t="s">
        <v>240</v>
      </c>
      <c r="H53" s="26">
        <v>46097</v>
      </c>
      <c r="I53" s="24">
        <v>264</v>
      </c>
      <c r="J53" s="24" t="s">
        <v>23</v>
      </c>
      <c r="K53" s="24" t="s">
        <v>20</v>
      </c>
    </row>
    <row r="54" spans="1:11" ht="15.75">
      <c r="A54" s="36" t="s">
        <v>16</v>
      </c>
      <c r="B54" s="40">
        <f>_xlfn.XLOOKUP(Log_Atkinson14526[[#This Row],[Machine ]], PriceTable[Machine], PriceTable[$/Unit], "")</f>
        <v>0.1</v>
      </c>
      <c r="C54" s="25">
        <v>230</v>
      </c>
      <c r="D54" s="38">
        <f>IF(OR(Log_Atkinson14526[[#This Row],[Machine ]]="", Log_Atkinson14526[[#This Row],[Unit Amount]]=""), "", IFERROR(MAX(Log_Atkinson14526[[#This Row],[Unit Amount]] * Log_Atkinson14526[[#This Row],[$/Unit]], 3), ""))</f>
        <v>23</v>
      </c>
      <c r="E54" s="23" t="s">
        <v>241</v>
      </c>
      <c r="F54" s="24"/>
      <c r="G54" s="25" t="s">
        <v>242</v>
      </c>
      <c r="H54" s="26">
        <v>46097</v>
      </c>
      <c r="I54" s="24">
        <v>265</v>
      </c>
      <c r="J54" s="24" t="s">
        <v>23</v>
      </c>
      <c r="K54" s="24" t="s">
        <v>20</v>
      </c>
    </row>
    <row r="55" spans="1:11" ht="15.75">
      <c r="A55" s="36" t="s">
        <v>16</v>
      </c>
      <c r="B55" s="40">
        <f>_xlfn.XLOOKUP(Log_Atkinson14526[[#This Row],[Machine ]], PriceTable[Machine], PriceTable[$/Unit], "")</f>
        <v>0.1</v>
      </c>
      <c r="C55" s="25">
        <v>262</v>
      </c>
      <c r="D55" s="38">
        <f>IF(OR(Log_Atkinson14526[[#This Row],[Machine ]]="", Log_Atkinson14526[[#This Row],[Unit Amount]]=""), "", IFERROR(MAX(Log_Atkinson14526[[#This Row],[Unit Amount]] * Log_Atkinson14526[[#This Row],[$/Unit]], 3), ""))</f>
        <v>26.200000000000003</v>
      </c>
      <c r="E55" s="23" t="s">
        <v>243</v>
      </c>
      <c r="F55" s="24"/>
      <c r="G55" s="25"/>
      <c r="H55" s="26">
        <v>46097</v>
      </c>
      <c r="I55" s="24">
        <v>266</v>
      </c>
      <c r="J55" s="24" t="s">
        <v>47</v>
      </c>
      <c r="K55" s="24" t="s">
        <v>20</v>
      </c>
    </row>
    <row r="56" spans="1:11" ht="15.75">
      <c r="A56" s="36" t="s">
        <v>16</v>
      </c>
      <c r="B56" s="40">
        <f>_xlfn.XLOOKUP(Log_Atkinson14526[[#This Row],[Machine ]], PriceTable[Machine], PriceTable[$/Unit], "")</f>
        <v>0.1</v>
      </c>
      <c r="C56" s="25">
        <v>117</v>
      </c>
      <c r="D56" s="38">
        <f>IF(OR(Log_Atkinson14526[[#This Row],[Machine ]]="", Log_Atkinson14526[[#This Row],[Unit Amount]]=""), "", IFERROR(MAX(Log_Atkinson14526[[#This Row],[Unit Amount]] * Log_Atkinson14526[[#This Row],[$/Unit]], 3), ""))</f>
        <v>11.700000000000001</v>
      </c>
      <c r="E56" s="23" t="s">
        <v>244</v>
      </c>
      <c r="F56" s="24"/>
      <c r="G56" s="25" t="s">
        <v>242</v>
      </c>
      <c r="H56" s="26">
        <v>46097</v>
      </c>
      <c r="I56" s="24">
        <v>267</v>
      </c>
      <c r="J56" s="24" t="s">
        <v>32</v>
      </c>
      <c r="K56" s="24" t="s">
        <v>20</v>
      </c>
    </row>
    <row r="57" spans="1:11" ht="15.75">
      <c r="A57" s="36" t="s">
        <v>16</v>
      </c>
      <c r="B57" s="40">
        <f>_xlfn.XLOOKUP(Log_Atkinson14526[[#This Row],[Machine ]], PriceTable[Machine], PriceTable[$/Unit], "")</f>
        <v>0.1</v>
      </c>
      <c r="C57" s="25">
        <v>87</v>
      </c>
      <c r="D57" s="38">
        <f>IF(OR(Log_Atkinson14526[[#This Row],[Machine ]]="", Log_Atkinson14526[[#This Row],[Unit Amount]]=""), "", IFERROR(MAX(Log_Atkinson14526[[#This Row],[Unit Amount]] * Log_Atkinson14526[[#This Row],[$/Unit]], 3), ""))</f>
        <v>8.7000000000000011</v>
      </c>
      <c r="E57" s="23" t="s">
        <v>245</v>
      </c>
      <c r="F57" s="24"/>
      <c r="G57" s="25" t="s">
        <v>242</v>
      </c>
      <c r="H57" s="26">
        <v>46097</v>
      </c>
      <c r="I57" s="24">
        <v>268</v>
      </c>
      <c r="J57" s="24" t="s">
        <v>32</v>
      </c>
      <c r="K57" s="24" t="s">
        <v>20</v>
      </c>
    </row>
    <row r="58" spans="1:11" ht="15.75">
      <c r="A58" s="36" t="s">
        <v>16</v>
      </c>
      <c r="B58" s="40">
        <f>_xlfn.XLOOKUP(Log_Atkinson14526[[#This Row],[Machine ]], PriceTable[Machine], PriceTable[$/Unit], "")</f>
        <v>0.1</v>
      </c>
      <c r="C58" s="25">
        <v>50</v>
      </c>
      <c r="D58" s="38">
        <f>IF(OR(Log_Atkinson14526[[#This Row],[Machine ]]="", Log_Atkinson14526[[#This Row],[Unit Amount]]=""), "", IFERROR(MAX(Log_Atkinson14526[[#This Row],[Unit Amount]] * Log_Atkinson14526[[#This Row],[$/Unit]], 3), ""))</f>
        <v>5</v>
      </c>
      <c r="E58" s="23" t="s">
        <v>246</v>
      </c>
      <c r="F58" s="24"/>
      <c r="G58" s="25" t="s">
        <v>221</v>
      </c>
      <c r="H58" s="26">
        <v>46097</v>
      </c>
      <c r="I58" s="24">
        <v>269</v>
      </c>
      <c r="J58" s="24" t="s">
        <v>156</v>
      </c>
      <c r="K58" s="24" t="s">
        <v>20</v>
      </c>
    </row>
    <row r="59" spans="1:11" ht="15.75">
      <c r="A59" s="36" t="s">
        <v>16</v>
      </c>
      <c r="B59" s="40">
        <f>_xlfn.XLOOKUP(Log_Atkinson14526[[#This Row],[Machine ]], PriceTable[Machine], PriceTable[$/Unit], "")</f>
        <v>0.1</v>
      </c>
      <c r="C59" s="25">
        <v>15</v>
      </c>
      <c r="D59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59" s="23" t="s">
        <v>247</v>
      </c>
      <c r="F59" s="24"/>
      <c r="G59" s="25" t="s">
        <v>134</v>
      </c>
      <c r="H59" s="26">
        <v>46097</v>
      </c>
      <c r="I59" s="24">
        <v>270</v>
      </c>
      <c r="J59" s="24" t="s">
        <v>23</v>
      </c>
      <c r="K59" s="24" t="s">
        <v>20</v>
      </c>
    </row>
    <row r="60" spans="1:11" ht="15.75">
      <c r="A60" s="36" t="s">
        <v>16</v>
      </c>
      <c r="B60" s="40">
        <f>_xlfn.XLOOKUP(Log_Atkinson14526[[#This Row],[Machine ]], PriceTable[Machine], PriceTable[$/Unit], "")</f>
        <v>0.1</v>
      </c>
      <c r="C60" s="25">
        <v>152</v>
      </c>
      <c r="D60" s="38">
        <f>IF(OR(Log_Atkinson14526[[#This Row],[Machine ]]="", Log_Atkinson14526[[#This Row],[Unit Amount]]=""), "", IFERROR(MAX(Log_Atkinson14526[[#This Row],[Unit Amount]] * Log_Atkinson14526[[#This Row],[$/Unit]], 3), ""))</f>
        <v>15.200000000000001</v>
      </c>
      <c r="E60" s="23" t="s">
        <v>248</v>
      </c>
      <c r="F60" s="24"/>
      <c r="G60" s="25" t="s">
        <v>36</v>
      </c>
      <c r="H60" s="26">
        <v>46097</v>
      </c>
      <c r="I60" s="24">
        <v>271</v>
      </c>
      <c r="J60" s="24" t="s">
        <v>37</v>
      </c>
      <c r="K60" s="24" t="s">
        <v>20</v>
      </c>
    </row>
    <row r="61" spans="1:11" ht="15.75">
      <c r="A61" s="36" t="s">
        <v>16</v>
      </c>
      <c r="B61" s="40">
        <f>_xlfn.XLOOKUP(Log_Atkinson14526[[#This Row],[Machine ]], PriceTable[Machine], PriceTable[$/Unit], "")</f>
        <v>0.1</v>
      </c>
      <c r="C61" s="25">
        <v>164</v>
      </c>
      <c r="D61" s="38">
        <f>IF(OR(Log_Atkinson14526[[#This Row],[Machine ]]="", Log_Atkinson14526[[#This Row],[Unit Amount]]=""), "", IFERROR(MAX(Log_Atkinson14526[[#This Row],[Unit Amount]] * Log_Atkinson14526[[#This Row],[$/Unit]], 3), ""))</f>
        <v>16.400000000000002</v>
      </c>
      <c r="E61" s="23" t="s">
        <v>217</v>
      </c>
      <c r="F61" s="24"/>
      <c r="G61" s="25" t="s">
        <v>249</v>
      </c>
      <c r="H61" s="26">
        <v>46098</v>
      </c>
      <c r="I61" s="24">
        <v>273</v>
      </c>
      <c r="J61" s="24" t="s">
        <v>30</v>
      </c>
      <c r="K61" s="24" t="s">
        <v>20</v>
      </c>
    </row>
    <row r="62" spans="1:11" ht="15.75">
      <c r="A62" s="36" t="s">
        <v>16</v>
      </c>
      <c r="B62" s="40">
        <f>_xlfn.XLOOKUP(Log_Atkinson14526[[#This Row],[Machine ]], PriceTable[Machine], PriceTable[$/Unit], "")</f>
        <v>0.1</v>
      </c>
      <c r="C62" s="25">
        <v>30</v>
      </c>
      <c r="D62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62" s="23" t="s">
        <v>247</v>
      </c>
      <c r="F62" s="24"/>
      <c r="G62" s="25" t="s">
        <v>171</v>
      </c>
      <c r="H62" s="26">
        <v>46098</v>
      </c>
      <c r="I62" s="24">
        <v>274</v>
      </c>
      <c r="J62" s="24" t="s">
        <v>30</v>
      </c>
      <c r="K62" s="24" t="s">
        <v>20</v>
      </c>
    </row>
    <row r="63" spans="1:11" ht="15.75">
      <c r="A63" s="36" t="s">
        <v>16</v>
      </c>
      <c r="B63" s="40">
        <f>_xlfn.XLOOKUP(Log_Atkinson14526[[#This Row],[Machine ]], PriceTable[Machine], PriceTable[$/Unit], "")</f>
        <v>0.1</v>
      </c>
      <c r="C63" s="25">
        <v>258</v>
      </c>
      <c r="D63" s="38">
        <f>IF(OR(Log_Atkinson14526[[#This Row],[Machine ]]="", Log_Atkinson14526[[#This Row],[Unit Amount]]=""), "", IFERROR(MAX(Log_Atkinson14526[[#This Row],[Unit Amount]] * Log_Atkinson14526[[#This Row],[$/Unit]], 3), ""))</f>
        <v>25.8</v>
      </c>
      <c r="E63" s="23" t="s">
        <v>250</v>
      </c>
      <c r="F63" s="24"/>
      <c r="G63" s="25" t="s">
        <v>251</v>
      </c>
      <c r="H63" s="26">
        <v>46098</v>
      </c>
      <c r="I63" s="24">
        <v>275</v>
      </c>
      <c r="J63" s="24" t="s">
        <v>30</v>
      </c>
      <c r="K63" s="24" t="s">
        <v>20</v>
      </c>
    </row>
    <row r="64" spans="1:11" ht="15.75">
      <c r="A64" s="36" t="s">
        <v>16</v>
      </c>
      <c r="B64" s="40">
        <f>_xlfn.XLOOKUP(Log_Atkinson14526[[#This Row],[Machine ]], PriceTable[Machine], PriceTable[$/Unit], "")</f>
        <v>0.1</v>
      </c>
      <c r="C64" s="25">
        <v>152</v>
      </c>
      <c r="D64" s="38">
        <f>IF(OR(Log_Atkinson14526[[#This Row],[Machine ]]="", Log_Atkinson14526[[#This Row],[Unit Amount]]=""), "", IFERROR(MAX(Log_Atkinson14526[[#This Row],[Unit Amount]] * Log_Atkinson14526[[#This Row],[$/Unit]], 3), ""))</f>
        <v>15.200000000000001</v>
      </c>
      <c r="E64" s="23" t="s">
        <v>252</v>
      </c>
      <c r="F64" s="24"/>
      <c r="G64" s="25" t="s">
        <v>36</v>
      </c>
      <c r="H64" s="26">
        <v>46098</v>
      </c>
      <c r="I64" s="24">
        <v>276</v>
      </c>
      <c r="J64" s="24" t="s">
        <v>168</v>
      </c>
      <c r="K64" s="24" t="s">
        <v>20</v>
      </c>
    </row>
    <row r="65" spans="1:11" ht="15.75">
      <c r="A65" s="36" t="s">
        <v>16</v>
      </c>
      <c r="B65" s="40">
        <f>_xlfn.XLOOKUP(Log_Atkinson14526[[#This Row],[Machine ]], PriceTable[Machine], PriceTable[$/Unit], "")</f>
        <v>0.1</v>
      </c>
      <c r="C65" s="25">
        <v>197</v>
      </c>
      <c r="D65" s="38">
        <f>IF(OR(Log_Atkinson14526[[#This Row],[Machine ]]="", Log_Atkinson14526[[#This Row],[Unit Amount]]=""), "", IFERROR(MAX(Log_Atkinson14526[[#This Row],[Unit Amount]] * Log_Atkinson14526[[#This Row],[$/Unit]], 3), ""))</f>
        <v>19.700000000000003</v>
      </c>
      <c r="E65" s="23" t="s">
        <v>247</v>
      </c>
      <c r="F65" s="24"/>
      <c r="G65" s="25" t="s">
        <v>36</v>
      </c>
      <c r="H65" s="26">
        <v>46099</v>
      </c>
      <c r="I65" s="24">
        <v>277</v>
      </c>
      <c r="J65" s="24" t="s">
        <v>181</v>
      </c>
      <c r="K65" s="24" t="s">
        <v>20</v>
      </c>
    </row>
    <row r="66" spans="1:11" ht="15.75">
      <c r="A66" s="36" t="s">
        <v>16</v>
      </c>
      <c r="B66" s="40">
        <f>_xlfn.XLOOKUP(Log_Atkinson14526[[#This Row],[Machine ]], PriceTable[Machine], PriceTable[$/Unit], "")</f>
        <v>0.1</v>
      </c>
      <c r="C66" s="25">
        <v>144</v>
      </c>
      <c r="D66" s="38">
        <f>IF(OR(Log_Atkinson14526[[#This Row],[Machine ]]="", Log_Atkinson14526[[#This Row],[Unit Amount]]=""), "", IFERROR(MAX(Log_Atkinson14526[[#This Row],[Unit Amount]] * Log_Atkinson14526[[#This Row],[$/Unit]], 3), ""))</f>
        <v>14.4</v>
      </c>
      <c r="E66" s="23" t="s">
        <v>253</v>
      </c>
      <c r="F66" s="24"/>
      <c r="G66" s="25" t="s">
        <v>242</v>
      </c>
      <c r="H66" s="26">
        <v>46099</v>
      </c>
      <c r="I66" s="24">
        <v>278</v>
      </c>
      <c r="J66" s="24" t="s">
        <v>168</v>
      </c>
      <c r="K66" s="24" t="s">
        <v>20</v>
      </c>
    </row>
    <row r="67" spans="1:11" ht="15.75">
      <c r="A67" s="36" t="s">
        <v>16</v>
      </c>
      <c r="B67" s="40">
        <f>_xlfn.XLOOKUP(Log_Atkinson14526[[#This Row],[Machine ]], PriceTable[Machine], PriceTable[$/Unit], "")</f>
        <v>0.1</v>
      </c>
      <c r="C67" s="25">
        <v>180</v>
      </c>
      <c r="D67" s="38">
        <f>IF(OR(Log_Atkinson14526[[#This Row],[Machine ]]="", Log_Atkinson14526[[#This Row],[Unit Amount]]=""), "", IFERROR(MAX(Log_Atkinson14526[[#This Row],[Unit Amount]] * Log_Atkinson14526[[#This Row],[$/Unit]], 3), ""))</f>
        <v>18</v>
      </c>
      <c r="E67" s="23" t="s">
        <v>254</v>
      </c>
      <c r="F67" s="24"/>
      <c r="G67" s="25" t="s">
        <v>221</v>
      </c>
      <c r="H67" s="26">
        <v>46099</v>
      </c>
      <c r="I67" s="24">
        <v>279</v>
      </c>
      <c r="J67" s="24" t="s">
        <v>168</v>
      </c>
      <c r="K67" s="24" t="s">
        <v>20</v>
      </c>
    </row>
    <row r="68" spans="1:11" ht="15.75">
      <c r="A68" s="36" t="s">
        <v>16</v>
      </c>
      <c r="B68" s="40">
        <f>_xlfn.XLOOKUP(Log_Atkinson14526[[#This Row],[Machine ]], PriceTable[Machine], PriceTable[$/Unit], "")</f>
        <v>0.1</v>
      </c>
      <c r="C68" s="25">
        <v>37</v>
      </c>
      <c r="D68" s="38">
        <f>IF(OR(Log_Atkinson14526[[#This Row],[Machine ]]="", Log_Atkinson14526[[#This Row],[Unit Amount]]=""), "", IFERROR(MAX(Log_Atkinson14526[[#This Row],[Unit Amount]] * Log_Atkinson14526[[#This Row],[$/Unit]], 3), ""))</f>
        <v>3.7</v>
      </c>
      <c r="E68" s="23" t="s">
        <v>255</v>
      </c>
      <c r="F68" s="24"/>
      <c r="G68" s="25" t="s">
        <v>256</v>
      </c>
      <c r="H68" s="26">
        <v>46099</v>
      </c>
      <c r="I68" s="24">
        <v>280</v>
      </c>
      <c r="J68" s="24" t="s">
        <v>168</v>
      </c>
      <c r="K68" s="24" t="s">
        <v>20</v>
      </c>
    </row>
    <row r="69" spans="1:11" ht="15.75">
      <c r="A69" s="36" t="s">
        <v>16</v>
      </c>
      <c r="B69" s="40">
        <f>_xlfn.XLOOKUP(Log_Atkinson14526[[#This Row],[Machine ]], PriceTable[Machine], PriceTable[$/Unit], "")</f>
        <v>0.1</v>
      </c>
      <c r="C69" s="25">
        <v>207</v>
      </c>
      <c r="D69" s="38">
        <f>IF(OR(Log_Atkinson14526[[#This Row],[Machine ]]="", Log_Atkinson14526[[#This Row],[Unit Amount]]=""), "", IFERROR(MAX(Log_Atkinson14526[[#This Row],[Unit Amount]] * Log_Atkinson14526[[#This Row],[$/Unit]], 3), ""))</f>
        <v>20.700000000000003</v>
      </c>
      <c r="E69" s="23" t="s">
        <v>257</v>
      </c>
      <c r="F69" s="24"/>
      <c r="G69" s="25" t="s">
        <v>180</v>
      </c>
      <c r="H69" s="26">
        <v>46100</v>
      </c>
      <c r="I69" s="24">
        <v>281</v>
      </c>
      <c r="J69" s="24" t="s">
        <v>49</v>
      </c>
      <c r="K69" s="24" t="s">
        <v>20</v>
      </c>
    </row>
    <row r="70" spans="1:11" ht="15.75">
      <c r="A70" s="36" t="s">
        <v>16</v>
      </c>
      <c r="B70" s="40">
        <f>_xlfn.XLOOKUP(Log_Atkinson14526[[#This Row],[Machine ]], PriceTable[Machine], PriceTable[$/Unit], "")</f>
        <v>0.1</v>
      </c>
      <c r="C70" s="25">
        <v>19</v>
      </c>
      <c r="D70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70" s="23" t="s">
        <v>258</v>
      </c>
      <c r="F70" s="24"/>
      <c r="G70" s="25" t="s">
        <v>64</v>
      </c>
      <c r="H70" s="26">
        <v>46100</v>
      </c>
      <c r="I70" s="24">
        <v>282</v>
      </c>
      <c r="J70" s="24" t="s">
        <v>168</v>
      </c>
      <c r="K70" s="24" t="s">
        <v>20</v>
      </c>
    </row>
    <row r="71" spans="1:11" ht="15.75">
      <c r="A71" s="36" t="s">
        <v>155</v>
      </c>
      <c r="B71" s="40">
        <f>_xlfn.XLOOKUP(Log_Atkinson14526[[#This Row],[Machine ]], PriceTable[Machine], PriceTable[$/Unit], "")</f>
        <v>0.3</v>
      </c>
      <c r="C71" s="25">
        <v>7</v>
      </c>
      <c r="D71" s="38">
        <f>IF(OR(Log_Atkinson14526[[#This Row],[Machine ]]="", Log_Atkinson14526[[#This Row],[Unit Amount]]=""), "", IFERROR(MAX(Log_Atkinson14526[[#This Row],[Unit Amount]] * Log_Atkinson14526[[#This Row],[$/Unit]], 3), ""))</f>
        <v>3</v>
      </c>
      <c r="E71" s="23" t="s">
        <v>116</v>
      </c>
      <c r="F71" s="24"/>
      <c r="G71" s="25" t="s">
        <v>64</v>
      </c>
      <c r="H71" s="26">
        <v>46101</v>
      </c>
      <c r="I71" s="24">
        <v>283</v>
      </c>
      <c r="J71" s="24" t="s">
        <v>30</v>
      </c>
      <c r="K71" s="24" t="s">
        <v>20</v>
      </c>
    </row>
    <row r="72" spans="1:11" ht="15.75">
      <c r="A72" s="36" t="s">
        <v>16</v>
      </c>
      <c r="B72" s="40">
        <f>_xlfn.XLOOKUP(Log_Atkinson14526[[#This Row],[Machine ]], PriceTable[Machine], PriceTable[$/Unit], "")</f>
        <v>0.1</v>
      </c>
      <c r="C72" s="25">
        <v>220</v>
      </c>
      <c r="D72" s="38">
        <f>IF(OR(Log_Atkinson14526[[#This Row],[Machine ]]="", Log_Atkinson14526[[#This Row],[Unit Amount]]=""), "", IFERROR(MAX(Log_Atkinson14526[[#This Row],[Unit Amount]] * Log_Atkinson14526[[#This Row],[$/Unit]], 3), ""))</f>
        <v>22</v>
      </c>
      <c r="E72" s="23" t="s">
        <v>259</v>
      </c>
      <c r="F72" s="24"/>
      <c r="G72" s="25" t="s">
        <v>221</v>
      </c>
      <c r="H72" s="26">
        <v>46101</v>
      </c>
      <c r="I72" s="24">
        <v>284</v>
      </c>
      <c r="J72" s="24" t="s">
        <v>30</v>
      </c>
      <c r="K72" s="24" t="s">
        <v>20</v>
      </c>
    </row>
    <row r="73" spans="1:11" ht="15.75">
      <c r="A73" s="36" t="s">
        <v>12</v>
      </c>
      <c r="B73" s="40">
        <f>_xlfn.XLOOKUP(Log_Atkinson14526[[#This Row],[Machine ]], PriceTable[Machine], PriceTable[$/Unit], "")</f>
        <v>0</v>
      </c>
      <c r="C73" s="25"/>
      <c r="D73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3" s="23"/>
      <c r="F73" s="24"/>
      <c r="G73" s="25"/>
      <c r="H73" s="26"/>
      <c r="I73" s="24"/>
      <c r="J73" s="24"/>
      <c r="K73" s="24"/>
    </row>
    <row r="74" spans="1:11" ht="15.75">
      <c r="A74" s="36" t="s">
        <v>12</v>
      </c>
      <c r="B74" s="40">
        <f>_xlfn.XLOOKUP(Log_Atkinson14526[[#This Row],[Machine ]], PriceTable[Machine], PriceTable[$/Unit], "")</f>
        <v>0</v>
      </c>
      <c r="C74" s="25"/>
      <c r="D74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40">
        <f>_xlfn.XLOOKUP(Log_Atkinson14526[[#This Row],[Machine ]], PriceTable[Machine], PriceTable[$/Unit], "")</f>
        <v>0</v>
      </c>
      <c r="C75" s="25"/>
      <c r="D75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5" s="23"/>
      <c r="F75" s="24"/>
      <c r="G75" s="25"/>
      <c r="H75" s="26"/>
      <c r="I75" s="24"/>
      <c r="J75" s="24"/>
      <c r="K75" s="24"/>
    </row>
    <row r="76" spans="1:11" ht="15.75">
      <c r="A76" s="36" t="s">
        <v>12</v>
      </c>
      <c r="B76" s="40">
        <f>_xlfn.XLOOKUP(Log_Atkinson14526[[#This Row],[Machine ]], PriceTable[Machine], PriceTable[$/Unit], "")</f>
        <v>0</v>
      </c>
      <c r="C76" s="25"/>
      <c r="D76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40">
        <f>_xlfn.XLOOKUP(Log_Atkinson14526[[#This Row],[Machine ]], PriceTable[Machine], PriceTable[$/Unit], "")</f>
        <v>0</v>
      </c>
      <c r="C77" s="25"/>
      <c r="D77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7" s="23"/>
      <c r="F77" s="24"/>
      <c r="G77" s="25"/>
      <c r="H77" s="26"/>
      <c r="I77" s="24"/>
      <c r="J77" s="24"/>
      <c r="K77" s="24"/>
    </row>
    <row r="78" spans="1:11" ht="15.75">
      <c r="A78" s="36" t="s">
        <v>12</v>
      </c>
      <c r="B78" s="40">
        <f>_xlfn.XLOOKUP(Log_Atkinson14526[[#This Row],[Machine ]], PriceTable[Machine], PriceTable[$/Unit], "")</f>
        <v>0</v>
      </c>
      <c r="C78" s="25"/>
      <c r="D78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40">
        <f>_xlfn.XLOOKUP(Log_Atkinson14526[[#This Row],[Machine ]], PriceTable[Machine], PriceTable[$/Unit], "")</f>
        <v>0</v>
      </c>
      <c r="C79" s="25"/>
      <c r="D79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79" s="23"/>
      <c r="F79" s="24"/>
      <c r="G79" s="25"/>
      <c r="H79" s="26"/>
      <c r="I79" s="24"/>
      <c r="J79" s="24"/>
      <c r="K79" s="24"/>
    </row>
    <row r="80" spans="1:11" ht="15.75">
      <c r="A80" s="36" t="s">
        <v>12</v>
      </c>
      <c r="B80" s="40">
        <f>_xlfn.XLOOKUP(Log_Atkinson14526[[#This Row],[Machine ]], PriceTable[Machine], PriceTable[$/Unit], "")</f>
        <v>0</v>
      </c>
      <c r="C80" s="25"/>
      <c r="D80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40">
        <f>_xlfn.XLOOKUP(Log_Atkinson14526[[#This Row],[Machine ]], PriceTable[Machine], PriceTable[$/Unit], "")</f>
        <v>0</v>
      </c>
      <c r="C81" s="25"/>
      <c r="D81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1" s="23"/>
      <c r="F81" s="24"/>
      <c r="G81" s="25"/>
      <c r="H81" s="26"/>
      <c r="I81" s="24"/>
      <c r="J81" s="24"/>
      <c r="K81" s="24"/>
    </row>
    <row r="82" spans="1:11" ht="15.75">
      <c r="A82" s="36" t="s">
        <v>12</v>
      </c>
      <c r="B82" s="40">
        <f>_xlfn.XLOOKUP(Log_Atkinson14526[[#This Row],[Machine ]], PriceTable[Machine], PriceTable[$/Unit], "")</f>
        <v>0</v>
      </c>
      <c r="C82" s="25"/>
      <c r="D82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12</v>
      </c>
      <c r="B83" s="40">
        <f>_xlfn.XLOOKUP(Log_Atkinson14526[[#This Row],[Machine ]], PriceTable[Machine], PriceTable[$/Unit], "")</f>
        <v>0</v>
      </c>
      <c r="C83" s="25"/>
      <c r="D83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3" s="23"/>
      <c r="F83" s="24"/>
      <c r="G83" s="25"/>
      <c r="H83" s="26"/>
      <c r="I83" s="24"/>
      <c r="J83" s="24"/>
      <c r="K83" s="24"/>
    </row>
    <row r="84" spans="1:11" ht="15.75">
      <c r="A84" s="36" t="s">
        <v>12</v>
      </c>
      <c r="B84" s="40">
        <f>_xlfn.XLOOKUP(Log_Atkinson14526[[#This Row],[Machine ]], PriceTable[Machine], PriceTable[$/Unit], "")</f>
        <v>0</v>
      </c>
      <c r="C84" s="25"/>
      <c r="D84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4" s="23"/>
      <c r="F84" s="24"/>
      <c r="G84" s="25"/>
      <c r="H84" s="26"/>
      <c r="I84" s="24"/>
      <c r="J84" s="24"/>
      <c r="K84" s="24"/>
    </row>
    <row r="85" spans="1:11" ht="15.75">
      <c r="A85" s="36" t="s">
        <v>12</v>
      </c>
      <c r="B85" s="40">
        <f>_xlfn.XLOOKUP(Log_Atkinson14526[[#This Row],[Machine ]], PriceTable[Machine], PriceTable[$/Unit], "")</f>
        <v>0</v>
      </c>
      <c r="C85" s="25"/>
      <c r="D85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5" s="23"/>
      <c r="F85" s="24"/>
      <c r="G85" s="25"/>
      <c r="H85" s="26"/>
      <c r="I85" s="24"/>
      <c r="J85" s="24"/>
      <c r="K85" s="24"/>
    </row>
    <row r="86" spans="1:11" ht="15.75">
      <c r="A86" s="36" t="s">
        <v>12</v>
      </c>
      <c r="B86" s="40">
        <f>_xlfn.XLOOKUP(Log_Atkinson14526[[#This Row],[Machine ]], PriceTable[Machine], PriceTable[$/Unit], "")</f>
        <v>0</v>
      </c>
      <c r="C86" s="25"/>
      <c r="D86" s="38" t="str">
        <f>IF(OR(Log_Atkinson14526[[#This Row],[Machine ]]="", Log_Atkinson14526[[#This Row],[Unit Amount]]=""), "", IFERROR(MAX(Log_Atkinson14526[[#This Row],[Unit Amount]] * Log_Atkinson14526[[#This Row],[$/Unit]], 3), ""))</f>
        <v/>
      </c>
      <c r="E86" s="23"/>
      <c r="F86" s="24"/>
      <c r="G86" s="25"/>
      <c r="H86" s="26"/>
      <c r="I86" s="24"/>
      <c r="J86" s="24"/>
      <c r="K86" s="24"/>
    </row>
    <row r="87" spans="1:11" ht="15.75">
      <c r="A87" s="36" t="s">
        <v>13</v>
      </c>
      <c r="B87" s="40"/>
      <c r="C87" s="25"/>
      <c r="D87" s="41"/>
      <c r="E87" s="23"/>
      <c r="F87" s="24"/>
      <c r="G87" s="25"/>
      <c r="H87" s="25"/>
      <c r="I87" s="24"/>
      <c r="J87" s="24"/>
      <c r="K87" s="56">
        <f>SUBTOTAL(109,Log_Atkinson14526[Cost])</f>
        <v>890.30000000000018</v>
      </c>
    </row>
    <row r="88" spans="1:11" ht="15.75" customHeight="1">
      <c r="C88" s="48"/>
      <c r="E88" s="49"/>
      <c r="G88" s="49"/>
      <c r="H88" s="50"/>
    </row>
    <row r="89" spans="1:11" ht="15.75" customHeight="1">
      <c r="C89" s="48"/>
      <c r="E89" s="49"/>
      <c r="G89" s="49"/>
      <c r="H89" s="50"/>
    </row>
    <row r="90" spans="1:11" ht="15.75">
      <c r="C90" s="51"/>
    </row>
    <row r="91" spans="1:11" ht="15.75"/>
    <row r="92" spans="1:11" ht="15.75"/>
    <row r="93" spans="1:11" ht="15.75"/>
    <row r="94" spans="1:11" ht="24">
      <c r="A94" s="64" t="s">
        <v>14</v>
      </c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.75">
      <c r="A95" s="52" t="s">
        <v>1</v>
      </c>
      <c r="B95" s="53" t="s">
        <v>2</v>
      </c>
      <c r="C95" s="53" t="s">
        <v>3</v>
      </c>
      <c r="D95" s="54" t="s">
        <v>4</v>
      </c>
      <c r="E95" s="55" t="s">
        <v>5</v>
      </c>
      <c r="F95" s="52" t="s">
        <v>6</v>
      </c>
      <c r="G95" s="55" t="s">
        <v>7</v>
      </c>
      <c r="H95" s="52" t="s">
        <v>15</v>
      </c>
      <c r="I95" s="52" t="s">
        <v>9</v>
      </c>
      <c r="J95" s="52" t="s">
        <v>10</v>
      </c>
      <c r="K95" s="52" t="s">
        <v>11</v>
      </c>
    </row>
    <row r="96" spans="1:11" ht="15.75">
      <c r="A96" s="36" t="s">
        <v>87</v>
      </c>
      <c r="B96" s="39">
        <f>_xlfn.XLOOKUP(Log_Art12327[[#This Row],[Machine ]], PriceTable[Machine], PriceTable[$/Unit], "")</f>
        <v>20</v>
      </c>
      <c r="C96" s="25">
        <v>9</v>
      </c>
      <c r="D96" s="38">
        <f>IF(OR(Log_Art12327[[#This Row],[Machine ]]="", Log_Art12327[[#This Row],[Unit Amount]]=""), "", IFERROR(MAX(Log_Art12327[[#This Row],[Unit Amount]] * Log_Art12327[[#This Row],[$/Unit]], 3), ""))</f>
        <v>180</v>
      </c>
      <c r="E96" s="23" t="s">
        <v>166</v>
      </c>
      <c r="F96" s="24"/>
      <c r="G96" s="25"/>
      <c r="H96" s="26">
        <v>46085</v>
      </c>
      <c r="I96" s="24">
        <v>22</v>
      </c>
      <c r="J96" s="24" t="s">
        <v>35</v>
      </c>
      <c r="K96" s="24" t="s">
        <v>20</v>
      </c>
    </row>
    <row r="97" spans="1:11" ht="15.75">
      <c r="A97" s="36" t="s">
        <v>12</v>
      </c>
      <c r="B97" s="39">
        <f>_xlfn.XLOOKUP(Log_Art12327[[#This Row],[Machine ]], PriceTable[Machine], PriceTable[$/Unit], "")</f>
        <v>0</v>
      </c>
      <c r="C97" s="29"/>
      <c r="D97" s="38" t="str">
        <f>IF(OR(Log_Art12327[[#This Row],[Machine ]]="", Log_Art12327[[#This Row],[Unit Amount]]=""), "", IFERROR(MAX(Log_Art12327[[#This Row],[Unit Amount]] * Log_Art12327[[#This Row],[$/Unit]], 3), ""))</f>
        <v/>
      </c>
      <c r="E97" s="27"/>
      <c r="F97" s="28"/>
      <c r="G97" s="29"/>
      <c r="H97" s="30"/>
      <c r="I97" s="28"/>
      <c r="J97" s="24"/>
      <c r="K97" s="28"/>
    </row>
    <row r="98" spans="1:11" ht="15.75">
      <c r="A98" s="36" t="s">
        <v>12</v>
      </c>
      <c r="B98" s="39">
        <f>_xlfn.XLOOKUP(Log_Art12327[[#This Row],[Machine ]], PriceTable[Machine], PriceTable[$/Unit], "")</f>
        <v>0</v>
      </c>
      <c r="C98" s="25"/>
      <c r="D98" s="38" t="str">
        <f>IF(OR(Log_Art12327[[#This Row],[Machine ]]="", Log_Art12327[[#This Row],[Unit Amount]]=""), "", IFERROR(MAX(Log_Art12327[[#This Row],[Unit Amount]] * Log_Art12327[[#This Row],[$/Unit]], 3), ""))</f>
        <v/>
      </c>
      <c r="E98" s="23"/>
      <c r="F98" s="24"/>
      <c r="G98" s="25"/>
      <c r="H98" s="26"/>
      <c r="I98" s="24"/>
      <c r="J98" s="24"/>
      <c r="K98" s="24"/>
    </row>
    <row r="99" spans="1:11" ht="15.75">
      <c r="A99" s="36" t="s">
        <v>12</v>
      </c>
      <c r="B99" s="39">
        <f>_xlfn.XLOOKUP(Log_Art12327[[#This Row],[Machine ]], PriceTable[Machine], PriceTable[$/Unit], "")</f>
        <v>0</v>
      </c>
      <c r="C99" s="29"/>
      <c r="D99" s="38" t="str">
        <f>IF(OR(Log_Art12327[[#This Row],[Machine ]]="", Log_Art12327[[#This Row],[Unit Amount]]=""), "", IFERROR(MAX(Log_Art12327[[#This Row],[Unit Amount]] * Log_Art12327[[#This Row],[$/Unit]], 3), ""))</f>
        <v/>
      </c>
      <c r="E99" s="27"/>
      <c r="F99" s="28"/>
      <c r="G99" s="29"/>
      <c r="H99" s="30"/>
      <c r="I99" s="28"/>
      <c r="J99" s="24"/>
      <c r="K99" s="28"/>
    </row>
    <row r="100" spans="1:11" ht="15.75">
      <c r="A100" s="36" t="s">
        <v>12</v>
      </c>
      <c r="B100" s="39">
        <f>_xlfn.XLOOKUP(Log_Art12327[[#This Row],[Machine ]], PriceTable[Machine], PriceTable[$/Unit], "")</f>
        <v>0</v>
      </c>
      <c r="C100" s="25"/>
      <c r="D100" s="38" t="str">
        <f>IF(OR(Log_Art12327[[#This Row],[Machine ]]="", Log_Art12327[[#This Row],[Unit Amount]]=""), "", IFERROR(MAX(Log_Art12327[[#This Row],[Unit Amount]] * Log_Art12327[[#This Row],[$/Unit]], 3), ""))</f>
        <v/>
      </c>
      <c r="E100" s="23"/>
      <c r="F100" s="24"/>
      <c r="G100" s="25"/>
      <c r="H100" s="26"/>
      <c r="I100" s="24"/>
      <c r="J100" s="24"/>
      <c r="K100" s="24"/>
    </row>
    <row r="101" spans="1:11" ht="15.75">
      <c r="A101" s="36" t="s">
        <v>12</v>
      </c>
      <c r="B101" s="39">
        <f>_xlfn.XLOOKUP(Log_Art12327[[#This Row],[Machine ]], PriceTable[Machine], PriceTable[$/Unit], "")</f>
        <v>0</v>
      </c>
      <c r="C101" s="29"/>
      <c r="D101" s="38" t="str">
        <f>IF(OR(Log_Art12327[[#This Row],[Machine ]]="", Log_Art12327[[#This Row],[Unit Amount]]=""), "", IFERROR(MAX(Log_Art12327[[#This Row],[Unit Amount]] * Log_Art12327[[#This Row],[$/Unit]], 3), ""))</f>
        <v/>
      </c>
      <c r="E101" s="27"/>
      <c r="F101" s="28"/>
      <c r="G101" s="29"/>
      <c r="H101" s="30"/>
      <c r="I101" s="28"/>
      <c r="J101" s="24"/>
      <c r="K101" s="28"/>
    </row>
    <row r="102" spans="1:11" ht="15.75">
      <c r="A102" s="36" t="s">
        <v>12</v>
      </c>
      <c r="B102" s="39">
        <f>_xlfn.XLOOKUP(Log_Art12327[[#This Row],[Machine ]], PriceTable[Machine], PriceTable[$/Unit], "")</f>
        <v>0</v>
      </c>
      <c r="C102" s="25"/>
      <c r="D102" s="38" t="str">
        <f>IF(OR(Log_Art12327[[#This Row],[Machine ]]="", Log_Art12327[[#This Row],[Unit Amount]]=""), "", IFERROR(MAX(Log_Art12327[[#This Row],[Unit Amount]] * Log_Art12327[[#This Row],[$/Unit]], 3), ""))</f>
        <v/>
      </c>
      <c r="E102" s="23"/>
      <c r="F102" s="24"/>
      <c r="G102" s="25"/>
      <c r="H102" s="26"/>
      <c r="I102" s="24"/>
      <c r="J102" s="24"/>
      <c r="K102" s="24"/>
    </row>
    <row r="103" spans="1:11" ht="15.75">
      <c r="A103" s="36" t="s">
        <v>12</v>
      </c>
      <c r="B103" s="39">
        <f>_xlfn.XLOOKUP(Log_Art12327[[#This Row],[Machine ]], PriceTable[Machine], PriceTable[$/Unit], "")</f>
        <v>0</v>
      </c>
      <c r="C103" s="29"/>
      <c r="D103" s="38" t="str">
        <f>IF(OR(Log_Art12327[[#This Row],[Machine ]]="", Log_Art12327[[#This Row],[Unit Amount]]=""), "", IFERROR(MAX(Log_Art12327[[#This Row],[Unit Amount]] * Log_Art12327[[#This Row],[$/Unit]], 3), ""))</f>
        <v/>
      </c>
      <c r="E103" s="27"/>
      <c r="F103" s="28"/>
      <c r="G103" s="29"/>
      <c r="H103" s="30"/>
      <c r="I103" s="28"/>
      <c r="J103" s="24"/>
      <c r="K103" s="28"/>
    </row>
    <row r="104" spans="1:11" ht="15.75">
      <c r="A104" s="36" t="s">
        <v>12</v>
      </c>
      <c r="B104" s="39">
        <f>_xlfn.XLOOKUP(Log_Art12327[[#This Row],[Machine ]], PriceTable[Machine], PriceTable[$/Unit], "")</f>
        <v>0</v>
      </c>
      <c r="C104" s="25"/>
      <c r="D104" s="38" t="str">
        <f>IF(OR(Log_Art12327[[#This Row],[Machine ]]="", Log_Art12327[[#This Row],[Unit Amount]]=""), "", IFERROR(MAX(Log_Art12327[[#This Row],[Unit Amount]] * Log_Art12327[[#This Row],[$/Unit]], 3), ""))</f>
        <v/>
      </c>
      <c r="E104" s="23"/>
      <c r="F104" s="24"/>
      <c r="G104" s="25"/>
      <c r="H104" s="26"/>
      <c r="I104" s="24"/>
      <c r="J104" s="24"/>
      <c r="K104" s="24"/>
    </row>
    <row r="105" spans="1:11" ht="15.75">
      <c r="A105" s="36" t="s">
        <v>12</v>
      </c>
      <c r="B105" s="39">
        <f>_xlfn.XLOOKUP(Log_Art12327[[#This Row],[Machine ]], PriceTable[Machine], PriceTable[$/Unit], "")</f>
        <v>0</v>
      </c>
      <c r="C105" s="29"/>
      <c r="D105" s="38" t="str">
        <f>IF(OR(Log_Art12327[[#This Row],[Machine ]]="", Log_Art12327[[#This Row],[Unit Amount]]=""), "", IFERROR(MAX(Log_Art12327[[#This Row],[Unit Amount]] * Log_Art12327[[#This Row],[$/Unit]], 3), ""))</f>
        <v/>
      </c>
      <c r="E105" s="27"/>
      <c r="F105" s="28"/>
      <c r="G105" s="29"/>
      <c r="H105" s="30"/>
      <c r="I105" s="28"/>
      <c r="J105" s="24"/>
      <c r="K105" s="28"/>
    </row>
    <row r="106" spans="1:11" ht="15.75">
      <c r="A106" s="36" t="s">
        <v>12</v>
      </c>
      <c r="B106" s="39">
        <f>_xlfn.XLOOKUP(Log_Art12327[[#This Row],[Machine ]], PriceTable[Machine], PriceTable[$/Unit], "")</f>
        <v>0</v>
      </c>
      <c r="C106" s="25"/>
      <c r="D106" s="38" t="str">
        <f>IF(OR(Log_Art12327[[#This Row],[Machine ]]="", Log_Art12327[[#This Row],[Unit Amount]]=""), "", IFERROR(MAX(Log_Art12327[[#This Row],[Unit Amount]] * Log_Art12327[[#This Row],[$/Unit]], 3), ""))</f>
        <v/>
      </c>
      <c r="E106" s="23"/>
      <c r="F106" s="24"/>
      <c r="G106" s="25"/>
      <c r="H106" s="26"/>
      <c r="I106" s="24"/>
      <c r="J106" s="24"/>
      <c r="K106" s="24"/>
    </row>
    <row r="107" spans="1:11" ht="15.75">
      <c r="A107" s="36" t="s">
        <v>12</v>
      </c>
      <c r="B107" s="39">
        <f>_xlfn.XLOOKUP(Log_Art12327[[#This Row],[Machine ]], PriceTable[Machine], PriceTable[$/Unit], "")</f>
        <v>0</v>
      </c>
      <c r="C107" s="29"/>
      <c r="D107" s="38" t="str">
        <f>IF(OR(Log_Art12327[[#This Row],[Machine ]]="", Log_Art12327[[#This Row],[Unit Amount]]=""), "", IFERROR(MAX(Log_Art12327[[#This Row],[Unit Amount]] * Log_Art12327[[#This Row],[$/Unit]], 3), ""))</f>
        <v/>
      </c>
      <c r="E107" s="27"/>
      <c r="F107" s="28"/>
      <c r="G107" s="29"/>
      <c r="H107" s="30"/>
      <c r="I107" s="28"/>
      <c r="J107" s="24"/>
      <c r="K107" s="28"/>
    </row>
    <row r="108" spans="1:11" ht="15.75">
      <c r="A108" s="36" t="s">
        <v>12</v>
      </c>
      <c r="B108" s="39">
        <f>_xlfn.XLOOKUP(Log_Art12327[[#This Row],[Machine ]], PriceTable[Machine], PriceTable[$/Unit], "")</f>
        <v>0</v>
      </c>
      <c r="C108" s="25"/>
      <c r="D108" s="38" t="str">
        <f>IF(OR(Log_Art12327[[#This Row],[Machine ]]="", Log_Art12327[[#This Row],[Unit Amount]]=""), "", IFERROR(MAX(Log_Art12327[[#This Row],[Unit Amount]] * Log_Art12327[[#This Row],[$/Unit]], 3), ""))</f>
        <v/>
      </c>
      <c r="E108" s="23"/>
      <c r="F108" s="24"/>
      <c r="G108" s="25"/>
      <c r="H108" s="26"/>
      <c r="I108" s="24"/>
      <c r="J108" s="24"/>
      <c r="K108" s="24"/>
    </row>
    <row r="109" spans="1:11" ht="15.75">
      <c r="A109" s="36" t="s">
        <v>12</v>
      </c>
      <c r="B109" s="39">
        <f>_xlfn.XLOOKUP(Log_Art12327[[#This Row],[Machine ]], PriceTable[Machine], PriceTable[$/Unit], "")</f>
        <v>0</v>
      </c>
      <c r="C109" s="29"/>
      <c r="D109" s="38" t="str">
        <f>IF(OR(Log_Art12327[[#This Row],[Machine ]]="", Log_Art12327[[#This Row],[Unit Amount]]=""), "", IFERROR(MAX(Log_Art12327[[#This Row],[Unit Amount]] * Log_Art12327[[#This Row],[$/Unit]], 3), ""))</f>
        <v/>
      </c>
      <c r="E109" s="27"/>
      <c r="F109" s="28"/>
      <c r="G109" s="29"/>
      <c r="H109" s="30"/>
      <c r="I109" s="28"/>
      <c r="J109" s="24"/>
      <c r="K109" s="28"/>
    </row>
    <row r="110" spans="1:11" ht="15.75">
      <c r="A110" s="36" t="s">
        <v>12</v>
      </c>
      <c r="B110" s="39">
        <f>_xlfn.XLOOKUP(Log_Art12327[[#This Row],[Machine ]], PriceTable[Machine], PriceTable[$/Unit], "")</f>
        <v>0</v>
      </c>
      <c r="C110" s="25"/>
      <c r="D110" s="38" t="str">
        <f>IF(OR(Log_Art12327[[#This Row],[Machine ]]="", Log_Art12327[[#This Row],[Unit Amount]]=""), "", IFERROR(MAX(Log_Art12327[[#This Row],[Unit Amount]] * Log_Art12327[[#This Row],[$/Unit]], 3), ""))</f>
        <v/>
      </c>
      <c r="E110" s="23"/>
      <c r="F110" s="24"/>
      <c r="G110" s="25"/>
      <c r="H110" s="26"/>
      <c r="I110" s="24"/>
      <c r="J110" s="24"/>
      <c r="K110" s="24"/>
    </row>
    <row r="111" spans="1:11" ht="15.75">
      <c r="A111" s="36" t="s">
        <v>12</v>
      </c>
      <c r="B111" s="39">
        <f>_xlfn.XLOOKUP(Log_Art12327[[#This Row],[Machine ]], PriceTable[Machine], PriceTable[$/Unit], "")</f>
        <v>0</v>
      </c>
      <c r="C111" s="29"/>
      <c r="D111" s="38" t="str">
        <f>IF(OR(Log_Art12327[[#This Row],[Machine ]]="", Log_Art12327[[#This Row],[Unit Amount]]=""), "", IFERROR(MAX(Log_Art12327[[#This Row],[Unit Amount]] * Log_Art12327[[#This Row],[$/Unit]], 3), ""))</f>
        <v/>
      </c>
      <c r="E111" s="27"/>
      <c r="F111" s="28"/>
      <c r="G111" s="29"/>
      <c r="H111" s="30"/>
      <c r="I111" s="28"/>
      <c r="J111" s="24"/>
      <c r="K111" s="28"/>
    </row>
    <row r="112" spans="1:11" ht="15.75">
      <c r="A112" s="36" t="s">
        <v>12</v>
      </c>
      <c r="B112" s="39">
        <f>_xlfn.XLOOKUP(Log_Art12327[[#This Row],[Machine ]], PriceTable[Machine], PriceTable[$/Unit], "")</f>
        <v>0</v>
      </c>
      <c r="C112" s="25"/>
      <c r="D112" s="38" t="str">
        <f>IF(OR(Log_Art12327[[#This Row],[Machine ]]="", Log_Art12327[[#This Row],[Unit Amount]]=""), "", IFERROR(MAX(Log_Art12327[[#This Row],[Unit Amount]] * Log_Art12327[[#This Row],[$/Unit]], 3), ""))</f>
        <v/>
      </c>
      <c r="E112" s="23"/>
      <c r="F112" s="24"/>
      <c r="G112" s="25"/>
      <c r="H112" s="26"/>
      <c r="I112" s="24"/>
      <c r="J112" s="24"/>
      <c r="K112" s="24"/>
    </row>
    <row r="113" spans="1:11" ht="15.75">
      <c r="A113" s="36" t="s">
        <v>12</v>
      </c>
      <c r="B113" s="39">
        <f>_xlfn.XLOOKUP(Log_Art12327[[#This Row],[Machine ]], PriceTable[Machine], PriceTable[$/Unit], "")</f>
        <v>0</v>
      </c>
      <c r="C113" s="29"/>
      <c r="D113" s="38" t="str">
        <f>IF(OR(Log_Art12327[[#This Row],[Machine ]]="", Log_Art12327[[#This Row],[Unit Amount]]=""), "", IFERROR(MAX(Log_Art12327[[#This Row],[Unit Amount]] * Log_Art12327[[#This Row],[$/Unit]], 3), ""))</f>
        <v/>
      </c>
      <c r="E113" s="27"/>
      <c r="F113" s="28"/>
      <c r="G113" s="29"/>
      <c r="H113" s="30"/>
      <c r="I113" s="28"/>
      <c r="J113" s="24"/>
      <c r="K113" s="28"/>
    </row>
    <row r="114" spans="1:11" ht="15.75">
      <c r="A114" s="36" t="s">
        <v>12</v>
      </c>
      <c r="B114" s="39">
        <f>_xlfn.XLOOKUP(Log_Art12327[[#This Row],[Machine ]], PriceTable[Machine], PriceTable[$/Unit], "")</f>
        <v>0</v>
      </c>
      <c r="C114" s="25"/>
      <c r="D114" s="38" t="str">
        <f>IF(OR(Log_Art12327[[#This Row],[Machine ]]="", Log_Art12327[[#This Row],[Unit Amount]]=""), "", IFERROR(MAX(Log_Art12327[[#This Row],[Unit Amount]] * Log_Art12327[[#This Row],[$/Unit]], 3), ""))</f>
        <v/>
      </c>
      <c r="E114" s="23"/>
      <c r="F114" s="24"/>
      <c r="G114" s="25"/>
      <c r="H114" s="26"/>
      <c r="I114" s="24"/>
      <c r="J114" s="24"/>
      <c r="K114" s="24"/>
    </row>
    <row r="115" spans="1:11" ht="15.75">
      <c r="A115" s="36" t="s">
        <v>12</v>
      </c>
      <c r="B115" s="39">
        <f>_xlfn.XLOOKUP(Log_Art12327[[#This Row],[Machine ]], PriceTable[Machine], PriceTable[$/Unit], "")</f>
        <v>0</v>
      </c>
      <c r="C115" s="29"/>
      <c r="D115" s="38" t="str">
        <f>IF(OR(Log_Art12327[[#This Row],[Machine ]]="", Log_Art12327[[#This Row],[Unit Amount]]=""), "", IFERROR(MAX(Log_Art12327[[#This Row],[Unit Amount]] * Log_Art12327[[#This Row],[$/Unit]], 3), ""))</f>
        <v/>
      </c>
      <c r="E115" s="27"/>
      <c r="F115" s="28"/>
      <c r="G115" s="29"/>
      <c r="H115" s="30"/>
      <c r="I115" s="28"/>
      <c r="J115" s="24"/>
      <c r="K115" s="28"/>
    </row>
    <row r="116" spans="1:11" ht="15.75">
      <c r="A116" s="36" t="s">
        <v>12</v>
      </c>
      <c r="B116" s="39">
        <f>_xlfn.XLOOKUP(Log_Art12327[[#This Row],[Machine ]], PriceTable[Machine], PriceTable[$/Unit], "")</f>
        <v>0</v>
      </c>
      <c r="C116" s="25"/>
      <c r="D116" s="38" t="str">
        <f>IF(OR(Log_Art12327[[#This Row],[Machine ]]="", Log_Art12327[[#This Row],[Unit Amount]]=""), "", IFERROR(MAX(Log_Art12327[[#This Row],[Unit Amount]] * Log_Art12327[[#This Row],[$/Unit]], 3), ""))</f>
        <v/>
      </c>
      <c r="E116" s="23"/>
      <c r="F116" s="24"/>
      <c r="G116" s="25"/>
      <c r="H116" s="26"/>
      <c r="I116" s="24"/>
      <c r="J116" s="24"/>
      <c r="K116" s="24"/>
    </row>
    <row r="117" spans="1:11" ht="15.75">
      <c r="A117" s="36" t="s">
        <v>12</v>
      </c>
      <c r="B117" s="39">
        <f>_xlfn.XLOOKUP(Log_Art12327[[#This Row],[Machine ]], PriceTable[Machine], PriceTable[$/Unit], "")</f>
        <v>0</v>
      </c>
      <c r="C117" s="29"/>
      <c r="D117" s="38" t="str">
        <f>IF(OR(Log_Art12327[[#This Row],[Machine ]]="", Log_Art12327[[#This Row],[Unit Amount]]=""), "", IFERROR(MAX(Log_Art12327[[#This Row],[Unit Amount]] * Log_Art12327[[#This Row],[$/Unit]], 3), ""))</f>
        <v/>
      </c>
      <c r="E117" s="27"/>
      <c r="F117" s="28"/>
      <c r="G117" s="29"/>
      <c r="H117" s="30"/>
      <c r="I117" s="28"/>
      <c r="J117" s="24"/>
      <c r="K117" s="28"/>
    </row>
    <row r="118" spans="1:11" ht="15" customHeight="1">
      <c r="A118" s="36" t="s">
        <v>12</v>
      </c>
      <c r="B118" s="39">
        <f>_xlfn.XLOOKUP(Log_Art12327[[#This Row],[Machine ]], PriceTable[Machine], PriceTable[$/Unit], "")</f>
        <v>0</v>
      </c>
      <c r="C118" s="25"/>
      <c r="D118" s="38" t="str">
        <f>IF(OR(Log_Art12327[[#This Row],[Machine ]]="", Log_Art12327[[#This Row],[Unit Amount]]=""), "", IFERROR(MAX(Log_Art12327[[#This Row],[Unit Amount]] * Log_Art12327[[#This Row],[$/Unit]], 3), ""))</f>
        <v/>
      </c>
      <c r="E118" s="23"/>
      <c r="F118" s="24"/>
      <c r="G118" s="25"/>
      <c r="H118" s="26"/>
      <c r="I118" s="24"/>
      <c r="J118" s="24"/>
      <c r="K118" s="24"/>
    </row>
    <row r="119" spans="1:11" ht="15" customHeight="1">
      <c r="A119" s="36" t="s">
        <v>13</v>
      </c>
      <c r="B119" s="40"/>
      <c r="C119" s="25"/>
      <c r="D119" s="41"/>
      <c r="E119" s="23"/>
      <c r="F119" s="24"/>
      <c r="G119" s="25"/>
      <c r="H119" s="25"/>
      <c r="I119" s="24"/>
      <c r="J119" s="24"/>
      <c r="K119" s="56">
        <f>SUBTOTAL(109,Log_Art12327[Cost])</f>
        <v>180</v>
      </c>
    </row>
  </sheetData>
  <protectedRanges>
    <protectedRange sqref="A3:K86" name="Range1_48_48_48_48_48_1"/>
    <protectedRange sqref="B118:I118 C115:C117 B96:B117 E115:I117 D96:D117 K115:K118" name="Range1_48_48_48_48_48_1_71_3"/>
    <protectedRange sqref="C96:C114 E96:I114 J96:K96 K97:K114 J97:J118" name="Range1_48_48_48_48_48_1_1"/>
    <protectedRange sqref="A96:A118" name="Range2_23_23_23_23_23_23_23_23_23_23_23_23_20_19"/>
  </protectedRanges>
  <mergeCells count="2">
    <mergeCell ref="A1:K1"/>
    <mergeCell ref="A94:K94"/>
  </mergeCells>
  <conditionalFormatting sqref="A1 H96:K118 A88:XFD88 C3:C86 E3:K86 A3:A86 L1:XFD87">
    <cfRule type="containsText" dxfId="401" priority="12" operator="containsText" text="Select Machine">
      <formula>NOT(ISERROR(SEARCH("Select Machine",A1)))</formula>
    </cfRule>
  </conditionalFormatting>
  <conditionalFormatting sqref="G3:G86 A3:A86">
    <cfRule type="cellIs" dxfId="400" priority="8" operator="equal">
      <formula>"Select Machine"</formula>
    </cfRule>
  </conditionalFormatting>
  <conditionalFormatting sqref="A96:A118">
    <cfRule type="containsText" dxfId="399" priority="4" operator="containsText" text="Select Machine">
      <formula>NOT(ISERROR(SEARCH("Select Machine",A96)))</formula>
    </cfRule>
    <cfRule type="cellIs" dxfId="398" priority="5" operator="equal">
      <formula>"Select Machine"</formula>
    </cfRule>
  </conditionalFormatting>
  <conditionalFormatting sqref="C96:C118 E96:F118">
    <cfRule type="containsText" dxfId="397" priority="1" operator="containsText" text="Select Machine">
      <formula>NOT(ISERROR(SEARCH("Select Machine",C96)))</formula>
    </cfRule>
  </conditionalFormatting>
  <conditionalFormatting sqref="G96:G118">
    <cfRule type="cellIs" dxfId="396" priority="2" operator="equal">
      <formula>"Select Machine"</formula>
    </cfRule>
    <cfRule type="containsText" dxfId="395" priority="3" operator="containsText" text="Select Machine">
      <formula>NOT(ISERROR(SEARCH("Select Machine",G96)))</formula>
    </cfRule>
  </conditionalFormatting>
  <conditionalFormatting sqref="K120:K121 A121:J121 A122:K1048576">
    <cfRule type="containsText" dxfId="394" priority="10" operator="containsText" text="Select Machine">
      <formula>NOT(ISERROR(SEARCH("Select Machine",A120)))</formula>
    </cfRule>
  </conditionalFormatting>
  <conditionalFormatting sqref="A2:K2 A89:K93 A94 A95:K95 L89:XFD1048576">
    <cfRule type="containsText" dxfId="393" priority="11" operator="containsText" text="Select Machine">
      <formula>NOT(ISERROR(SEARCH("Select Machine",A2)))</formula>
    </cfRule>
  </conditionalFormatting>
  <conditionalFormatting sqref="L92:XFD92">
    <cfRule type="cellIs" dxfId="392" priority="13" operator="equal">
      <formula>"Select Machine"</formula>
    </cfRule>
  </conditionalFormatting>
  <dataValidations count="9">
    <dataValidation type="list" allowBlank="1" showInputMessage="1" showErrorMessage="1" sqref="J96:J118 J3:J86" xr:uid="{A5D4C397-DFA1-4945-8309-96B24635717A}">
      <formula1>Staff</formula1>
    </dataValidation>
    <dataValidation type="list" allowBlank="1" showInputMessage="1" showErrorMessage="1" sqref="A96:A118 A2:A86" xr:uid="{B1F085BF-7E04-47F2-B281-9A85C46B412A}">
      <formula1>MachineList</formula1>
    </dataValidation>
    <dataValidation type="list" allowBlank="1" showInputMessage="1" showErrorMessage="1" sqref="K97" xr:uid="{6EB3EE02-8923-484A-BA73-C27229E9DDBA}">
      <formula1>"Conrad,Caroline,Calcea,Cooper,Quinton,Kiran,Lacie,Mahi,Rohan,Jacob,Madison"</formula1>
    </dataValidation>
    <dataValidation allowBlank="1" showInputMessage="1" showErrorMessage="1" sqref="F121:F1048576 F1:F2 F88:F95" xr:uid="{F1954844-54A2-4433-BC93-31F1C708A394}"/>
    <dataValidation type="list" allowBlank="1" showInputMessage="1" showErrorMessage="1" sqref="J88:J89" xr:uid="{5AB6DD8B-98F7-4B88-96FE-5771113EEFD3}">
      <formula1>"Conrad,Spencer,Kiran,Jack Wayne,Morgan"</formula1>
    </dataValidation>
    <dataValidation type="list" allowBlank="1" showInputMessage="1" showErrorMessage="1" sqref="A88:A89 A121" xr:uid="{214F4FE0-AECE-4407-BBCF-072F31328BA6}">
      <formula1>"Prusa,Ultimaker S5,Ultimaker 2+,Raise3D Pro 2 Plus,Markforged Onyx,Form 2, Form 2 Specialty,Plasma,Forest CNC"</formula1>
    </dataValidation>
    <dataValidation type="list" allowBlank="1" showInputMessage="1" showErrorMessage="1" sqref="A95" xr:uid="{5C228A56-862F-48B1-B3EB-B6D2D4A5E8B3}">
      <formula1>"Prusa,Raise3D Pro 2 Plus,Ultimaker S5,Ultimaker 2+,Markforged Onyx,Form 2,Form 2 Specialty"</formula1>
    </dataValidation>
    <dataValidation type="list" allowBlank="1" showInputMessage="1" showErrorMessage="1" sqref="K88:K89 K96:K118 K3:K50" xr:uid="{93CE26CC-2A42-4700-B779-0180D2693DF8}">
      <formula1>"Open,Closed"</formula1>
    </dataValidation>
    <dataValidation type="whole" allowBlank="1" showInputMessage="1" showErrorMessage="1" sqref="F96:F118 I88:I89 I96:I118 I121 F3:F86 I3:I86" xr:uid="{5D04D638-E41A-49E0-9BF5-CAAF901346DC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8AC-C5F8-45BA-9257-6E16AC6A53D1}">
  <dimension ref="A1:K83"/>
  <sheetViews>
    <sheetView topLeftCell="A42" zoomScaleNormal="100" workbookViewId="0">
      <selection activeCell="N59" sqref="N59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16</v>
      </c>
      <c r="B3" s="37">
        <f>_xlfn.XLOOKUP(Log_Atkinson14530[[#This Row],[Machine ]], PriceTable[Machine], PriceTable[$/Unit], "")</f>
        <v>0.1</v>
      </c>
      <c r="C3" s="25"/>
      <c r="D3" s="38"/>
      <c r="E3" s="23"/>
      <c r="F3" s="24"/>
      <c r="G3" s="25"/>
      <c r="H3" s="26"/>
      <c r="I3" s="24"/>
      <c r="J3" s="24"/>
      <c r="K3" s="24"/>
    </row>
    <row r="4" spans="1:11" ht="15.75">
      <c r="A4" s="36" t="s">
        <v>12</v>
      </c>
      <c r="B4" s="37">
        <f>_xlfn.XLOOKUP(Log_Atkinson14530[[#This Row],[Machine ]], PriceTable[Machine], PriceTable[$/Unit], "")</f>
        <v>0</v>
      </c>
      <c r="C4" s="29"/>
      <c r="D4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" s="27"/>
      <c r="F4" s="28"/>
      <c r="G4" s="29"/>
      <c r="H4" s="30"/>
      <c r="I4" s="28"/>
      <c r="J4" s="24"/>
      <c r="K4" s="28"/>
    </row>
    <row r="5" spans="1:11" ht="15.75">
      <c r="A5" s="36" t="s">
        <v>12</v>
      </c>
      <c r="B5" s="39">
        <f>_xlfn.XLOOKUP(Log_Atkinson14530[[#This Row],[Machine ]], PriceTable[Machine], PriceTable[$/Unit], "")</f>
        <v>0</v>
      </c>
      <c r="C5" s="25"/>
      <c r="D5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5" s="23"/>
      <c r="F5" s="24"/>
      <c r="G5" s="25"/>
      <c r="H5" s="26"/>
      <c r="I5" s="24"/>
      <c r="J5" s="24"/>
      <c r="K5" s="24"/>
    </row>
    <row r="6" spans="1:11" ht="15.75">
      <c r="A6" s="36" t="s">
        <v>12</v>
      </c>
      <c r="B6" s="37">
        <f>_xlfn.XLOOKUP(Log_Atkinson14530[[#This Row],[Machine ]], PriceTable[Machine], PriceTable[$/Unit], "")</f>
        <v>0</v>
      </c>
      <c r="C6" s="29"/>
      <c r="D6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6" s="27"/>
      <c r="F6" s="28"/>
      <c r="G6" s="29"/>
      <c r="H6" s="30"/>
      <c r="I6" s="28"/>
      <c r="J6" s="24"/>
      <c r="K6" s="28"/>
    </row>
    <row r="7" spans="1:11" ht="15.75">
      <c r="A7" s="36" t="s">
        <v>12</v>
      </c>
      <c r="B7" s="39">
        <f>_xlfn.XLOOKUP(Log_Atkinson14530[[#This Row],[Machine ]], PriceTable[Machine], PriceTable[$/Unit], "")</f>
        <v>0</v>
      </c>
      <c r="C7" s="25"/>
      <c r="D7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7" s="23"/>
      <c r="F7" s="24"/>
      <c r="G7" s="25"/>
      <c r="H7" s="26"/>
      <c r="I7" s="24"/>
      <c r="J7" s="24"/>
      <c r="K7" s="24"/>
    </row>
    <row r="8" spans="1:11" ht="15.75">
      <c r="A8" s="36" t="s">
        <v>12</v>
      </c>
      <c r="B8" s="37">
        <f>_xlfn.XLOOKUP(Log_Atkinson14530[[#This Row],[Machine ]], PriceTable[Machine], PriceTable[$/Unit], "")</f>
        <v>0</v>
      </c>
      <c r="C8" s="29"/>
      <c r="D8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8" s="27"/>
      <c r="F8" s="28"/>
      <c r="G8" s="29"/>
      <c r="H8" s="30"/>
      <c r="I8" s="28"/>
      <c r="J8" s="24"/>
      <c r="K8" s="28"/>
    </row>
    <row r="9" spans="1:11" ht="15.75">
      <c r="A9" s="36" t="s">
        <v>12</v>
      </c>
      <c r="B9" s="39">
        <f>_xlfn.XLOOKUP(Log_Atkinson14530[[#This Row],[Machine ]], PriceTable[Machine], PriceTable[$/Unit], "")</f>
        <v>0</v>
      </c>
      <c r="C9" s="25"/>
      <c r="D9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9" s="23"/>
      <c r="F9" s="24"/>
      <c r="G9" s="25"/>
      <c r="H9" s="26"/>
      <c r="I9" s="24"/>
      <c r="J9" s="24"/>
      <c r="K9" s="24"/>
    </row>
    <row r="10" spans="1:11" ht="15.75">
      <c r="A10" s="36" t="s">
        <v>12</v>
      </c>
      <c r="B10" s="37">
        <f>_xlfn.XLOOKUP(Log_Atkinson14530[[#This Row],[Machine ]], PriceTable[Machine], PriceTable[$/Unit], "")</f>
        <v>0</v>
      </c>
      <c r="C10" s="29"/>
      <c r="D10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0" s="27"/>
      <c r="F10" s="28"/>
      <c r="G10" s="29"/>
      <c r="H10" s="30"/>
      <c r="I10" s="28"/>
      <c r="J10" s="24"/>
      <c r="K10" s="28"/>
    </row>
    <row r="11" spans="1:11" ht="15.75">
      <c r="A11" s="36" t="s">
        <v>12</v>
      </c>
      <c r="B11" s="39">
        <f>_xlfn.XLOOKUP(Log_Atkinson14530[[#This Row],[Machine ]], PriceTable[Machine], PriceTable[$/Unit], "")</f>
        <v>0</v>
      </c>
      <c r="C11" s="25"/>
      <c r="D11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1" s="23"/>
      <c r="F11" s="24"/>
      <c r="G11" s="25"/>
      <c r="H11" s="26"/>
      <c r="I11" s="24"/>
      <c r="J11" s="24"/>
      <c r="K11" s="24"/>
    </row>
    <row r="12" spans="1:11" ht="15.75">
      <c r="A12" s="36" t="s">
        <v>12</v>
      </c>
      <c r="B12" s="37">
        <f>_xlfn.XLOOKUP(Log_Atkinson14530[[#This Row],[Machine ]], PriceTable[Machine], PriceTable[$/Unit], "")</f>
        <v>0</v>
      </c>
      <c r="C12" s="29"/>
      <c r="D12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2" s="27"/>
      <c r="F12" s="28"/>
      <c r="G12" s="29"/>
      <c r="H12" s="30"/>
      <c r="I12" s="28"/>
      <c r="J12" s="24"/>
      <c r="K12" s="28"/>
    </row>
    <row r="13" spans="1:11" ht="15.75">
      <c r="A13" s="36" t="s">
        <v>12</v>
      </c>
      <c r="B13" s="39">
        <f>_xlfn.XLOOKUP(Log_Atkinson14530[[#This Row],[Machine ]], PriceTable[Machine], PriceTable[$/Unit], "")</f>
        <v>0</v>
      </c>
      <c r="C13" s="25"/>
      <c r="D13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3" s="23"/>
      <c r="F13" s="24"/>
      <c r="G13" s="25"/>
      <c r="H13" s="26"/>
      <c r="I13" s="24"/>
      <c r="J13" s="24"/>
      <c r="K13" s="24"/>
    </row>
    <row r="14" spans="1:11" ht="15.75">
      <c r="A14" s="36" t="s">
        <v>12</v>
      </c>
      <c r="B14" s="37">
        <f>_xlfn.XLOOKUP(Log_Atkinson14530[[#This Row],[Machine ]], PriceTable[Machine], PriceTable[$/Unit], "")</f>
        <v>0</v>
      </c>
      <c r="C14" s="29"/>
      <c r="D14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4" s="27"/>
      <c r="F14" s="28"/>
      <c r="G14" s="29"/>
      <c r="H14" s="30"/>
      <c r="I14" s="28"/>
      <c r="J14" s="24"/>
      <c r="K14" s="28"/>
    </row>
    <row r="15" spans="1:11" ht="15.75">
      <c r="A15" s="36" t="s">
        <v>12</v>
      </c>
      <c r="B15" s="39">
        <f>_xlfn.XLOOKUP(Log_Atkinson14530[[#This Row],[Machine ]], PriceTable[Machine], PriceTable[$/Unit], "")</f>
        <v>0</v>
      </c>
      <c r="C15" s="25"/>
      <c r="D15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5" s="23"/>
      <c r="F15" s="24"/>
      <c r="G15" s="25"/>
      <c r="H15" s="26"/>
      <c r="I15" s="24"/>
      <c r="J15" s="24"/>
      <c r="K15" s="24"/>
    </row>
    <row r="16" spans="1:11" ht="15.75">
      <c r="A16" s="36" t="s">
        <v>12</v>
      </c>
      <c r="B16" s="37">
        <f>_xlfn.XLOOKUP(Log_Atkinson14530[[#This Row],[Machine ]], PriceTable[Machine], PriceTable[$/Unit], "")</f>
        <v>0</v>
      </c>
      <c r="C16" s="29"/>
      <c r="D16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6" s="27"/>
      <c r="F16" s="28"/>
      <c r="G16" s="29"/>
      <c r="H16" s="30"/>
      <c r="I16" s="28"/>
      <c r="J16" s="24"/>
      <c r="K16" s="28"/>
    </row>
    <row r="17" spans="1:11" ht="15.75">
      <c r="A17" s="36" t="s">
        <v>12</v>
      </c>
      <c r="B17" s="39">
        <f>_xlfn.XLOOKUP(Log_Atkinson14530[[#This Row],[Machine ]], PriceTable[Machine], PriceTable[$/Unit], "")</f>
        <v>0</v>
      </c>
      <c r="C17" s="25"/>
      <c r="D17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7">
        <f>_xlfn.XLOOKUP(Log_Atkinson14530[[#This Row],[Machine ]], PriceTable[Machine], PriceTable[$/Unit], "")</f>
        <v>0</v>
      </c>
      <c r="C18" s="29"/>
      <c r="D18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8" s="27"/>
      <c r="F18" s="28"/>
      <c r="G18" s="29"/>
      <c r="H18" s="30"/>
      <c r="I18" s="28"/>
      <c r="J18" s="24"/>
      <c r="K18" s="28"/>
    </row>
    <row r="19" spans="1:11" ht="15.75">
      <c r="A19" s="36" t="s">
        <v>12</v>
      </c>
      <c r="B19" s="39">
        <f>_xlfn.XLOOKUP(Log_Atkinson14530[[#This Row],[Machine ]], PriceTable[Machine], PriceTable[$/Unit], "")</f>
        <v>0</v>
      </c>
      <c r="C19" s="25"/>
      <c r="D19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7">
        <f>_xlfn.XLOOKUP(Log_Atkinson14530[[#This Row],[Machine ]], PriceTable[Machine], PriceTable[$/Unit], "")</f>
        <v>0</v>
      </c>
      <c r="C20" s="29"/>
      <c r="D20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0" s="27"/>
      <c r="F20" s="28"/>
      <c r="G20" s="29"/>
      <c r="H20" s="30"/>
      <c r="I20" s="28"/>
      <c r="J20" s="24"/>
      <c r="K20" s="28"/>
    </row>
    <row r="21" spans="1:11" ht="15.75">
      <c r="A21" s="36" t="s">
        <v>12</v>
      </c>
      <c r="B21" s="39">
        <f>_xlfn.XLOOKUP(Log_Atkinson14530[[#This Row],[Machine ]], PriceTable[Machine], PriceTable[$/Unit], "")</f>
        <v>0</v>
      </c>
      <c r="C21" s="25"/>
      <c r="D21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_xlfn.XLOOKUP(Log_Atkinson14530[[#This Row],[Machine ]], PriceTable[Machine], PriceTable[$/Unit], "")</f>
        <v>0</v>
      </c>
      <c r="C22" s="29"/>
      <c r="D22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2" s="27"/>
      <c r="F22" s="28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_xlfn.XLOOKUP(Log_Atkinson14530[[#This Row],[Machine ]], PriceTable[Machine], PriceTable[$/Unit], "")</f>
        <v>0</v>
      </c>
      <c r="C23" s="25"/>
      <c r="D23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_xlfn.XLOOKUP(Log_Atkinson14530[[#This Row],[Machine ]], PriceTable[Machine], PriceTable[$/Unit], "")</f>
        <v>0</v>
      </c>
      <c r="C24" s="29"/>
      <c r="D24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4" s="27"/>
      <c r="F24" s="28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_xlfn.XLOOKUP(Log_Atkinson14530[[#This Row],[Machine ]], PriceTable[Machine], PriceTable[$/Unit], "")</f>
        <v>0</v>
      </c>
      <c r="C25" s="25"/>
      <c r="D25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_xlfn.XLOOKUP(Log_Atkinson14530[[#This Row],[Machine ]], PriceTable[Machine], PriceTable[$/Unit], "")</f>
        <v>0</v>
      </c>
      <c r="C26" s="29"/>
      <c r="D26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6" s="27"/>
      <c r="F26" s="28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_xlfn.XLOOKUP(Log_Atkinson14530[[#This Row],[Machine ]], PriceTable[Machine], PriceTable[$/Unit], "")</f>
        <v>0</v>
      </c>
      <c r="C27" s="25"/>
      <c r="D27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_xlfn.XLOOKUP(Log_Atkinson14530[[#This Row],[Machine ]], PriceTable[Machine], PriceTable[$/Unit], "")</f>
        <v>0</v>
      </c>
      <c r="C28" s="29"/>
      <c r="D28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8" s="27"/>
      <c r="F28" s="28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_xlfn.XLOOKUP(Log_Atkinson14530[[#This Row],[Machine ]], PriceTable[Machine], PriceTable[$/Unit], "")</f>
        <v>0</v>
      </c>
      <c r="C29" s="25"/>
      <c r="D29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_xlfn.XLOOKUP(Log_Atkinson14530[[#This Row],[Machine ]], PriceTable[Machine], PriceTable[$/Unit], "")</f>
        <v>0</v>
      </c>
      <c r="C30" s="29"/>
      <c r="D30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0" s="27"/>
      <c r="F30" s="28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_xlfn.XLOOKUP(Log_Atkinson14530[[#This Row],[Machine ]], PriceTable[Machine], PriceTable[$/Unit], "")</f>
        <v>0</v>
      </c>
      <c r="C31" s="25"/>
      <c r="D31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_xlfn.XLOOKUP(Log_Atkinson14530[[#This Row],[Machine ]], PriceTable[Machine], PriceTable[$/Unit], "")</f>
        <v>0</v>
      </c>
      <c r="C32" s="29"/>
      <c r="D32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2" s="27"/>
      <c r="F32" s="28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_xlfn.XLOOKUP(Log_Atkinson14530[[#This Row],[Machine ]], PriceTable[Machine], PriceTable[$/Unit], "")</f>
        <v>0</v>
      </c>
      <c r="C33" s="25"/>
      <c r="D33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_xlfn.XLOOKUP(Log_Atkinson14530[[#This Row],[Machine ]], PriceTable[Machine], PriceTable[$/Unit], "")</f>
        <v>0</v>
      </c>
      <c r="C34" s="29"/>
      <c r="D34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4" s="27"/>
      <c r="F34" s="28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_xlfn.XLOOKUP(Log_Atkinson14530[[#This Row],[Machine ]], PriceTable[Machine], PriceTable[$/Unit], "")</f>
        <v>0</v>
      </c>
      <c r="C35" s="25"/>
      <c r="D35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_xlfn.XLOOKUP(Log_Atkinson14530[[#This Row],[Machine ]], PriceTable[Machine], PriceTable[$/Unit], "")</f>
        <v>0</v>
      </c>
      <c r="C36" s="29"/>
      <c r="D36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6" s="27"/>
      <c r="F36" s="28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_xlfn.XLOOKUP(Log_Atkinson14530[[#This Row],[Machine ]], PriceTable[Machine], PriceTable[$/Unit], "")</f>
        <v>0</v>
      </c>
      <c r="C37" s="25"/>
      <c r="D37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_xlfn.XLOOKUP(Log_Atkinson14530[[#This Row],[Machine ]], PriceTable[Machine], PriceTable[$/Unit], "")</f>
        <v>0</v>
      </c>
      <c r="C38" s="29"/>
      <c r="D38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8" s="27"/>
      <c r="F38" s="28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_xlfn.XLOOKUP(Log_Atkinson14530[[#This Row],[Machine ]], PriceTable[Machine], PriceTable[$/Unit], "")</f>
        <v>0</v>
      </c>
      <c r="C39" s="25"/>
      <c r="D39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_xlfn.XLOOKUP(Log_Atkinson14530[[#This Row],[Machine ]], PriceTable[Machine], PriceTable[$/Unit], "")</f>
        <v>0</v>
      </c>
      <c r="C40" s="29"/>
      <c r="D40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0" s="27"/>
      <c r="F40" s="28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_xlfn.XLOOKUP(Log_Atkinson14530[[#This Row],[Machine ]], PriceTable[Machine], PriceTable[$/Unit], "")</f>
        <v>0</v>
      </c>
      <c r="C41" s="25"/>
      <c r="D41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_xlfn.XLOOKUP(Log_Atkinson14530[[#This Row],[Machine ]], PriceTable[Machine], PriceTable[$/Unit], "")</f>
        <v>0</v>
      </c>
      <c r="C42" s="29"/>
      <c r="D42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2" s="27"/>
      <c r="F42" s="28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_xlfn.XLOOKUP(Log_Atkinson14530[[#This Row],[Machine ]], PriceTable[Machine], PriceTable[$/Unit], "")</f>
        <v>0</v>
      </c>
      <c r="C43" s="25"/>
      <c r="D43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_xlfn.XLOOKUP(Log_Atkinson14530[[#This Row],[Machine ]], PriceTable[Machine], PriceTable[$/Unit], "")</f>
        <v>0</v>
      </c>
      <c r="C44" s="29"/>
      <c r="D44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4" s="27"/>
      <c r="F44" s="28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_xlfn.XLOOKUP(Log_Atkinson14530[[#This Row],[Machine ]], PriceTable[Machine], PriceTable[$/Unit], "")</f>
        <v>0</v>
      </c>
      <c r="C45" s="25"/>
      <c r="D45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_xlfn.XLOOKUP(Log_Atkinson14530[[#This Row],[Machine ]], PriceTable[Machine], PriceTable[$/Unit], "")</f>
        <v>0</v>
      </c>
      <c r="C46" s="29"/>
      <c r="D46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6" s="27"/>
      <c r="F46" s="28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_xlfn.XLOOKUP(Log_Atkinson14530[[#This Row],[Machine ]], PriceTable[Machine], PriceTable[$/Unit], "")</f>
        <v>0</v>
      </c>
      <c r="C47" s="25"/>
      <c r="D47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_xlfn.XLOOKUP(Log_Atkinson14530[[#This Row],[Machine ]], PriceTable[Machine], PriceTable[$/Unit], "")</f>
        <v>0</v>
      </c>
      <c r="C48" s="29"/>
      <c r="D48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8" s="27"/>
      <c r="F48" s="28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_xlfn.XLOOKUP(Log_Atkinson14530[[#This Row],[Machine ]], PriceTable[Machine], PriceTable[$/Unit], "")</f>
        <v>0</v>
      </c>
      <c r="C49" s="25"/>
      <c r="D49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_xlfn.XLOOKUP(Log_Atkinson14530[[#This Row],[Machine ]], PriceTable[Machine], PriceTable[$/Unit], "")</f>
        <v>0</v>
      </c>
      <c r="C50" s="25"/>
      <c r="D50" s="38" t="str">
        <f>IF(OR(Log_Atkinson14530[[#This Row],[Machine ]]="", Log_Atkinson14530[[#This Row],[Unit Amount]]=""), "", IFERROR(MAX(Log_Atkinson14530[[#This Row],[Unit Amount]] * Log_Atkinson14530[[#This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13</v>
      </c>
      <c r="B51" s="40"/>
      <c r="C51" s="25"/>
      <c r="D51" s="41"/>
      <c r="E51" s="23"/>
      <c r="F51" s="24"/>
      <c r="G51" s="25"/>
      <c r="H51" s="25"/>
      <c r="I51" s="24"/>
      <c r="J51" s="24"/>
      <c r="K51" s="57">
        <f>SUBTOTAL(109,Log_Atkinson14530[Cost])</f>
        <v>0</v>
      </c>
    </row>
    <row r="52" spans="1:11" ht="15.75">
      <c r="A52" s="42"/>
      <c r="B52" s="43"/>
      <c r="C52" s="44"/>
      <c r="D52" s="45"/>
      <c r="E52" s="46"/>
      <c r="F52" s="47"/>
      <c r="G52" s="44"/>
      <c r="H52" s="44"/>
      <c r="I52" s="47"/>
      <c r="J52" s="47"/>
      <c r="K52" s="47"/>
    </row>
    <row r="53" spans="1:11" ht="15.75">
      <c r="C53" s="48"/>
      <c r="E53" s="49"/>
      <c r="G53" s="49"/>
      <c r="H53" s="50"/>
    </row>
    <row r="54" spans="1:11" ht="15.75">
      <c r="C54" s="51"/>
    </row>
    <row r="55" spans="1:11" ht="15.75" customHeight="1"/>
    <row r="56" spans="1:11" ht="15.75"/>
    <row r="57" spans="1:11" ht="11.25" customHeight="1"/>
    <row r="58" spans="1:11" ht="24">
      <c r="A58" s="64" t="s">
        <v>14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>
      <c r="A59" s="52" t="s">
        <v>1</v>
      </c>
      <c r="B59" s="53" t="s">
        <v>2</v>
      </c>
      <c r="C59" s="53" t="s">
        <v>3</v>
      </c>
      <c r="D59" s="54" t="s">
        <v>4</v>
      </c>
      <c r="E59" s="55" t="s">
        <v>5</v>
      </c>
      <c r="F59" s="52" t="s">
        <v>6</v>
      </c>
      <c r="G59" s="55" t="s">
        <v>7</v>
      </c>
      <c r="H59" s="52" t="s">
        <v>15</v>
      </c>
      <c r="I59" s="52" t="s">
        <v>9</v>
      </c>
      <c r="J59" s="52" t="s">
        <v>10</v>
      </c>
      <c r="K59" s="52" t="s">
        <v>11</v>
      </c>
    </row>
    <row r="60" spans="1:11" ht="15.75">
      <c r="A60" s="36" t="s">
        <v>12</v>
      </c>
      <c r="B60" s="39">
        <f>_xlfn.XLOOKUP(Log_Art12331[[#This Row],[Machine ]], PriceTable[Machine], PriceTable[$/Unit], "")</f>
        <v>0</v>
      </c>
      <c r="C60" s="25"/>
      <c r="D60" s="38" t="str">
        <f>IF(OR(Log_Art12331[[#This Row],[Machine ]]="", Log_Art12331[[#This Row],[Unit Amount]]=""), "", IFERROR(MAX(Log_Art12331[[#This Row],[Unit Amount]] * Log_Art12331[[#This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_xlfn.XLOOKUP(Log_Art12331[[#This Row],[Machine ]], PriceTable[Machine], PriceTable[$/Unit], "")</f>
        <v>0</v>
      </c>
      <c r="C61" s="29"/>
      <c r="D61" s="38" t="str">
        <f>IF(OR(Log_Art12331[[#This Row],[Machine ]]="", Log_Art12331[[#This Row],[Unit Amount]]=""), "", IFERROR(MAX(Log_Art12331[[#This Row],[Unit Amount]] * Log_Art12331[[#This Row],[$/Unit]], 3), ""))</f>
        <v/>
      </c>
      <c r="E61" s="27"/>
      <c r="F61" s="28"/>
      <c r="G61" s="29"/>
      <c r="H61" s="30"/>
      <c r="I61" s="28"/>
      <c r="J61" s="24"/>
      <c r="K61" s="28"/>
    </row>
    <row r="62" spans="1:11" ht="15.75">
      <c r="A62" s="36" t="s">
        <v>12</v>
      </c>
      <c r="B62" s="39">
        <f>_xlfn.XLOOKUP(Log_Art12331[[#This Row],[Machine ]], PriceTable[Machine], PriceTable[$/Unit], "")</f>
        <v>0</v>
      </c>
      <c r="C62" s="25"/>
      <c r="D62" s="38" t="str">
        <f>IF(OR(Log_Art12331[[#This Row],[Machine ]]="", Log_Art12331[[#This Row],[Unit Amount]]=""), "", IFERROR(MAX(Log_Art12331[[#This Row],[Unit Amount]] * Log_Art12331[[#This Row],[$/Unit]], 3), ""))</f>
        <v/>
      </c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_xlfn.XLOOKUP(Log_Art12331[[#This Row],[Machine ]], PriceTable[Machine], PriceTable[$/Unit], "")</f>
        <v>0</v>
      </c>
      <c r="C63" s="29"/>
      <c r="D63" s="38" t="str">
        <f>IF(OR(Log_Art12331[[#This Row],[Machine ]]="", Log_Art12331[[#This Row],[Unit Amount]]=""), "", IFERROR(MAX(Log_Art12331[[#This Row],[Unit Amount]] * Log_Art12331[[#This Row],[$/Unit]], 3), ""))</f>
        <v/>
      </c>
      <c r="E63" s="27"/>
      <c r="F63" s="28"/>
      <c r="G63" s="29"/>
      <c r="H63" s="30"/>
      <c r="I63" s="28"/>
      <c r="J63" s="24"/>
      <c r="K63" s="28"/>
    </row>
    <row r="64" spans="1:11" ht="15.75">
      <c r="A64" s="36" t="s">
        <v>12</v>
      </c>
      <c r="B64" s="39">
        <f>_xlfn.XLOOKUP(Log_Art12331[[#This Row],[Machine ]], PriceTable[Machine], PriceTable[$/Unit], "")</f>
        <v>0</v>
      </c>
      <c r="C64" s="25"/>
      <c r="D64" s="38" t="str">
        <f>IF(OR(Log_Art12331[[#This Row],[Machine ]]="", Log_Art12331[[#This Row],[Unit Amount]]=""), "", IFERROR(MAX(Log_Art12331[[#This Row],[Unit Amount]] * Log_Art12331[[#This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_xlfn.XLOOKUP(Log_Art12331[[#This Row],[Machine ]], PriceTable[Machine], PriceTable[$/Unit], "")</f>
        <v>0</v>
      </c>
      <c r="C65" s="29"/>
      <c r="D65" s="38" t="str">
        <f>IF(OR(Log_Art12331[[#This Row],[Machine ]]="", Log_Art12331[[#This Row],[Unit Amount]]=""), "", IFERROR(MAX(Log_Art12331[[#This Row],[Unit Amount]] * Log_Art12331[[#This Row],[$/Unit]], 3), ""))</f>
        <v/>
      </c>
      <c r="E65" s="27"/>
      <c r="F65" s="28"/>
      <c r="G65" s="29"/>
      <c r="H65" s="30"/>
      <c r="I65" s="28"/>
      <c r="J65" s="24"/>
      <c r="K65" s="28"/>
    </row>
    <row r="66" spans="1:11" ht="15.75">
      <c r="A66" s="36" t="s">
        <v>12</v>
      </c>
      <c r="B66" s="39">
        <f>_xlfn.XLOOKUP(Log_Art12331[[#This Row],[Machine ]], PriceTable[Machine], PriceTable[$/Unit], "")</f>
        <v>0</v>
      </c>
      <c r="C66" s="25"/>
      <c r="D66" s="38" t="str">
        <f>IF(OR(Log_Art12331[[#This Row],[Machine ]]="", Log_Art12331[[#This Row],[Unit Amount]]=""), "", IFERROR(MAX(Log_Art12331[[#This Row],[Unit Amount]] * Log_Art12331[[#This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_xlfn.XLOOKUP(Log_Art12331[[#This Row],[Machine ]], PriceTable[Machine], PriceTable[$/Unit], "")</f>
        <v>0</v>
      </c>
      <c r="C67" s="29"/>
      <c r="D67" s="38" t="str">
        <f>IF(OR(Log_Art12331[[#This Row],[Machine ]]="", Log_Art12331[[#This Row],[Unit Amount]]=""), "", IFERROR(MAX(Log_Art12331[[#This Row],[Unit Amount]] * Log_Art12331[[#This Row],[$/Unit]], 3), ""))</f>
        <v/>
      </c>
      <c r="E67" s="27"/>
      <c r="F67" s="28"/>
      <c r="G67" s="29"/>
      <c r="H67" s="30"/>
      <c r="I67" s="28"/>
      <c r="J67" s="24"/>
      <c r="K67" s="28"/>
    </row>
    <row r="68" spans="1:11" ht="15.75">
      <c r="A68" s="36" t="s">
        <v>12</v>
      </c>
      <c r="B68" s="39">
        <f>_xlfn.XLOOKUP(Log_Art12331[[#This Row],[Machine ]], PriceTable[Machine], PriceTable[$/Unit], "")</f>
        <v>0</v>
      </c>
      <c r="C68" s="25"/>
      <c r="D68" s="38" t="str">
        <f>IF(OR(Log_Art12331[[#This Row],[Machine ]]="", Log_Art12331[[#This Row],[Unit Amount]]=""), "", IFERROR(MAX(Log_Art12331[[#This Row],[Unit Amount]] * Log_Art12331[[#This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_xlfn.XLOOKUP(Log_Art12331[[#This Row],[Machine ]], PriceTable[Machine], PriceTable[$/Unit], "")</f>
        <v>0</v>
      </c>
      <c r="C69" s="29"/>
      <c r="D69" s="38" t="str">
        <f>IF(OR(Log_Art12331[[#This Row],[Machine ]]="", Log_Art12331[[#This Row],[Unit Amount]]=""), "", IFERROR(MAX(Log_Art12331[[#This Row],[Unit Amount]] * Log_Art12331[[#This Row],[$/Unit]], 3), ""))</f>
        <v/>
      </c>
      <c r="E69" s="27"/>
      <c r="F69" s="28"/>
      <c r="G69" s="29"/>
      <c r="H69" s="30"/>
      <c r="I69" s="28"/>
      <c r="J69" s="24"/>
      <c r="K69" s="28"/>
    </row>
    <row r="70" spans="1:11" ht="15.75">
      <c r="A70" s="36" t="s">
        <v>12</v>
      </c>
      <c r="B70" s="39">
        <f>_xlfn.XLOOKUP(Log_Art12331[[#This Row],[Machine ]], PriceTable[Machine], PriceTable[$/Unit], "")</f>
        <v>0</v>
      </c>
      <c r="C70" s="25"/>
      <c r="D70" s="38" t="str">
        <f>IF(OR(Log_Art12331[[#This Row],[Machine ]]="", Log_Art12331[[#This Row],[Unit Amount]]=""), "", IFERROR(MAX(Log_Art12331[[#This Row],[Unit Amount]] * Log_Art12331[[#This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>
      <c r="A71" s="36" t="s">
        <v>12</v>
      </c>
      <c r="B71" s="39">
        <f>_xlfn.XLOOKUP(Log_Art12331[[#This Row],[Machine ]], PriceTable[Machine], PriceTable[$/Unit], "")</f>
        <v>0</v>
      </c>
      <c r="C71" s="29"/>
      <c r="D71" s="38" t="str">
        <f>IF(OR(Log_Art12331[[#This Row],[Machine ]]="", Log_Art12331[[#This Row],[Unit Amount]]=""), "", IFERROR(MAX(Log_Art12331[[#This Row],[Unit Amount]] * Log_Art12331[[#This Row],[$/Unit]], 3), ""))</f>
        <v/>
      </c>
      <c r="E71" s="27"/>
      <c r="F71" s="28"/>
      <c r="G71" s="29"/>
      <c r="H71" s="30"/>
      <c r="I71" s="28"/>
      <c r="J71" s="24"/>
      <c r="K71" s="28"/>
    </row>
    <row r="72" spans="1:11" ht="15.75">
      <c r="A72" s="36" t="s">
        <v>12</v>
      </c>
      <c r="B72" s="39">
        <f>_xlfn.XLOOKUP(Log_Art12331[[#This Row],[Machine ]], PriceTable[Machine], PriceTable[$/Unit], "")</f>
        <v>0</v>
      </c>
      <c r="C72" s="25"/>
      <c r="D72" s="38" t="str">
        <f>IF(OR(Log_Art12331[[#This Row],[Machine ]]="", Log_Art12331[[#This Row],[Unit Amount]]=""), "", IFERROR(MAX(Log_Art12331[[#This Row],[Unit Amount]] * Log_Art12331[[#This Row],[$/Unit]], 3), ""))</f>
        <v/>
      </c>
      <c r="E72" s="23"/>
      <c r="F72" s="24"/>
      <c r="G72" s="25"/>
      <c r="H72" s="26"/>
      <c r="I72" s="24"/>
      <c r="J72" s="24"/>
      <c r="K72" s="24"/>
    </row>
    <row r="73" spans="1:11" ht="15.75">
      <c r="A73" s="36" t="s">
        <v>12</v>
      </c>
      <c r="B73" s="39">
        <f>_xlfn.XLOOKUP(Log_Art12331[[#This Row],[Machine ]], PriceTable[Machine], PriceTable[$/Unit], "")</f>
        <v>0</v>
      </c>
      <c r="C73" s="29"/>
      <c r="D73" s="38" t="str">
        <f>IF(OR(Log_Art12331[[#This Row],[Machine ]]="", Log_Art12331[[#This Row],[Unit Amount]]=""), "", IFERROR(MAX(Log_Art12331[[#This Row],[Unit Amount]] * Log_Art12331[[#This Row],[$/Unit]], 3), ""))</f>
        <v/>
      </c>
      <c r="E73" s="27"/>
      <c r="F73" s="28"/>
      <c r="G73" s="29"/>
      <c r="H73" s="30"/>
      <c r="I73" s="28"/>
      <c r="J73" s="24"/>
      <c r="K73" s="28"/>
    </row>
    <row r="74" spans="1:11" ht="15.75">
      <c r="A74" s="36" t="s">
        <v>12</v>
      </c>
      <c r="B74" s="39">
        <f>_xlfn.XLOOKUP(Log_Art12331[[#This Row],[Machine ]], PriceTable[Machine], PriceTable[$/Unit], "")</f>
        <v>0</v>
      </c>
      <c r="C74" s="25"/>
      <c r="D74" s="38" t="str">
        <f>IF(OR(Log_Art12331[[#This Row],[Machine ]]="", Log_Art12331[[#This Row],[Unit Amount]]=""), "", IFERROR(MAX(Log_Art12331[[#This Row],[Unit Amount]] * Log_Art12331[[#This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39">
        <f>_xlfn.XLOOKUP(Log_Art12331[[#This Row],[Machine ]], PriceTable[Machine], PriceTable[$/Unit], "")</f>
        <v>0</v>
      </c>
      <c r="C75" s="29"/>
      <c r="D75" s="38" t="str">
        <f>IF(OR(Log_Art12331[[#This Row],[Machine ]]="", Log_Art12331[[#This Row],[Unit Amount]]=""), "", IFERROR(MAX(Log_Art12331[[#This Row],[Unit Amount]] * Log_Art12331[[#This Row],[$/Unit]], 3), ""))</f>
        <v/>
      </c>
      <c r="E75" s="27"/>
      <c r="F75" s="28"/>
      <c r="G75" s="29"/>
      <c r="H75" s="30"/>
      <c r="I75" s="28"/>
      <c r="J75" s="24"/>
      <c r="K75" s="28"/>
    </row>
    <row r="76" spans="1:11" ht="15.75">
      <c r="A76" s="36" t="s">
        <v>12</v>
      </c>
      <c r="B76" s="39">
        <f>_xlfn.XLOOKUP(Log_Art12331[[#This Row],[Machine ]], PriceTable[Machine], PriceTable[$/Unit], "")</f>
        <v>0</v>
      </c>
      <c r="C76" s="25"/>
      <c r="D76" s="38" t="str">
        <f>IF(OR(Log_Art12331[[#This Row],[Machine ]]="", Log_Art12331[[#This Row],[Unit Amount]]=""), "", IFERROR(MAX(Log_Art12331[[#This Row],[Unit Amount]] * Log_Art12331[[#This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39">
        <f>_xlfn.XLOOKUP(Log_Art12331[[#This Row],[Machine ]], PriceTable[Machine], PriceTable[$/Unit], "")</f>
        <v>0</v>
      </c>
      <c r="C77" s="29"/>
      <c r="D77" s="38" t="str">
        <f>IF(OR(Log_Art12331[[#This Row],[Machine ]]="", Log_Art12331[[#This Row],[Unit Amount]]=""), "", IFERROR(MAX(Log_Art12331[[#This Row],[Unit Amount]] * Log_Art12331[[#This Row],[$/Unit]], 3), ""))</f>
        <v/>
      </c>
      <c r="E77" s="27"/>
      <c r="F77" s="28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_xlfn.XLOOKUP(Log_Art12331[[#This Row],[Machine ]], PriceTable[Machine], PriceTable[$/Unit], "")</f>
        <v>0</v>
      </c>
      <c r="C78" s="25"/>
      <c r="D78" s="38" t="str">
        <f>IF(OR(Log_Art12331[[#This Row],[Machine ]]="", Log_Art12331[[#This Row],[Unit Amount]]=""), "", IFERROR(MAX(Log_Art12331[[#This Row],[Unit Amount]] * Log_Art12331[[#This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39">
        <f>_xlfn.XLOOKUP(Log_Art12331[[#This Row],[Machine ]], PriceTable[Machine], PriceTable[$/Unit], "")</f>
        <v>0</v>
      </c>
      <c r="C79" s="29"/>
      <c r="D79" s="38" t="str">
        <f>IF(OR(Log_Art12331[[#This Row],[Machine ]]="", Log_Art12331[[#This Row],[Unit Amount]]=""), "", IFERROR(MAX(Log_Art12331[[#This Row],[Unit Amount]] * Log_Art12331[[#This Row],[$/Unit]], 3), ""))</f>
        <v/>
      </c>
      <c r="E79" s="27"/>
      <c r="F79" s="28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_xlfn.XLOOKUP(Log_Art12331[[#This Row],[Machine ]], PriceTable[Machine], PriceTable[$/Unit], "")</f>
        <v>0</v>
      </c>
      <c r="C80" s="25"/>
      <c r="D80" s="38" t="str">
        <f>IF(OR(Log_Art12331[[#This Row],[Machine ]]="", Log_Art12331[[#This Row],[Unit Amount]]=""), "", IFERROR(MAX(Log_Art12331[[#This Row],[Unit Amount]] * Log_Art12331[[#This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39">
        <f>_xlfn.XLOOKUP(Log_Art12331[[#This Row],[Machine ]], PriceTable[Machine], PriceTable[$/Unit], "")</f>
        <v>0</v>
      </c>
      <c r="C81" s="29"/>
      <c r="D81" s="38" t="str">
        <f>IF(OR(Log_Art12331[[#This Row],[Machine ]]="", Log_Art12331[[#This Row],[Unit Amount]]=""), "", IFERROR(MAX(Log_Art12331[[#This Row],[Unit Amount]] * Log_Art12331[[#This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_xlfn.XLOOKUP(Log_Art12331[[#This Row],[Machine ]], PriceTable[Machine], PriceTable[$/Unit], "")</f>
        <v>0</v>
      </c>
      <c r="C82" s="25"/>
      <c r="D82" s="38" t="str">
        <f>IF(OR(Log_Art12331[[#This Row],[Machine ]]="", Log_Art12331[[#This Row],[Unit Amount]]=""), "", IFERROR(MAX(Log_Art12331[[#This Row],[Unit Amount]] * Log_Art12331[[#This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13</v>
      </c>
      <c r="B83" s="40"/>
      <c r="C83" s="25"/>
      <c r="D83" s="41"/>
      <c r="E83" s="23"/>
      <c r="F83" s="24"/>
      <c r="G83" s="25"/>
      <c r="H83" s="25"/>
      <c r="I83" s="24"/>
      <c r="J83" s="24"/>
      <c r="K83" s="56">
        <f>SUBTOTAL(109,Log_Art12331[Cost])</f>
        <v>0</v>
      </c>
    </row>
  </sheetData>
  <sheetProtection sheet="1" objects="1" scenarios="1"/>
  <protectedRanges>
    <protectedRange sqref="A3:K50" name="Range1_48_48_48_48_48_1"/>
    <protectedRange sqref="B82:I82 C79:C81 B60:B81 E79:I81 D60:D81 K79:K82" name="Range1_48_48_48_48_48_1_71_3"/>
    <protectedRange sqref="C60:C78 E60:I78 J60:K60 K61:K78 J61:J82" name="Range1_48_48_48_48_48_1_1"/>
    <protectedRange sqref="A60:A82" name="Range2_23_23_23_23_23_23_23_23_23_23_23_23_20_19"/>
  </protectedRanges>
  <mergeCells count="2">
    <mergeCell ref="A1:K1"/>
    <mergeCell ref="A58:K58"/>
  </mergeCells>
  <conditionalFormatting sqref="A1 H60:K82">
    <cfRule type="containsText" dxfId="339" priority="12" operator="containsText" text="Select Machine">
      <formula>NOT(ISERROR(SEARCH("Select Machine",A1)))</formula>
    </cfRule>
  </conditionalFormatting>
  <conditionalFormatting sqref="A3:A50 C3:C50 E3:F50">
    <cfRule type="containsText" dxfId="338" priority="7" operator="containsText" text="Select Machine">
      <formula>NOT(ISERROR(SEARCH("Select Machine",A3)))</formula>
    </cfRule>
  </conditionalFormatting>
  <conditionalFormatting sqref="A3:A50 G3:G50">
    <cfRule type="cellIs" dxfId="337" priority="8" operator="equal">
      <formula>"Select Machine"</formula>
    </cfRule>
  </conditionalFormatting>
  <conditionalFormatting sqref="A60:A82">
    <cfRule type="containsText" dxfId="336" priority="4" operator="containsText" text="Select Machine">
      <formula>NOT(ISERROR(SEARCH("Select Machine",A60)))</formula>
    </cfRule>
    <cfRule type="cellIs" dxfId="335" priority="5" operator="equal">
      <formula>"Select Machine"</formula>
    </cfRule>
  </conditionalFormatting>
  <conditionalFormatting sqref="C60:C82 E60:F82">
    <cfRule type="containsText" dxfId="334" priority="1" operator="containsText" text="Select Machine">
      <formula>NOT(ISERROR(SEARCH("Select Machine",C60)))</formula>
    </cfRule>
  </conditionalFormatting>
  <conditionalFormatting sqref="G3:G50">
    <cfRule type="containsText" dxfId="333" priority="9" operator="containsText" text="Select Machine">
      <formula>NOT(ISERROR(SEARCH("Select Machine",G3)))</formula>
    </cfRule>
  </conditionalFormatting>
  <conditionalFormatting sqref="G60:G82">
    <cfRule type="cellIs" dxfId="332" priority="2" operator="equal">
      <formula>"Select Machine"</formula>
    </cfRule>
    <cfRule type="containsText" dxfId="331" priority="3" operator="containsText" text="Select Machine">
      <formula>NOT(ISERROR(SEARCH("Select Machine",G60)))</formula>
    </cfRule>
  </conditionalFormatting>
  <conditionalFormatting sqref="H3:K50">
    <cfRule type="containsText" dxfId="330" priority="6" operator="containsText" text="Select Machine">
      <formula>NOT(ISERROR(SEARCH("Select Machine",H3)))</formula>
    </cfRule>
  </conditionalFormatting>
  <conditionalFormatting sqref="K84:K85 A85:J85 A86:K1048576">
    <cfRule type="containsText" dxfId="329" priority="10" operator="containsText" text="Select Machine">
      <formula>NOT(ISERROR(SEARCH("Select Machine",A84)))</formula>
    </cfRule>
  </conditionalFormatting>
  <conditionalFormatting sqref="L1:XFD1048576 A2:K2 A53:K57 A58 A59:K59">
    <cfRule type="containsText" dxfId="328" priority="11" operator="containsText" text="Select Machine">
      <formula>NOT(ISERROR(SEARCH("Select Machine",A1)))</formula>
    </cfRule>
  </conditionalFormatting>
  <conditionalFormatting sqref="L58:XFD58">
    <cfRule type="cellIs" dxfId="327" priority="13" operator="equal">
      <formula>"Select Machine"</formula>
    </cfRule>
  </conditionalFormatting>
  <dataValidations count="9">
    <dataValidation type="list" allowBlank="1" showInputMessage="1" showErrorMessage="1" sqref="J3:J50 J60:J82" xr:uid="{D8AF8063-E5F9-4416-AA05-90DFCE357147}">
      <formula1>Staff</formula1>
    </dataValidation>
    <dataValidation type="list" allowBlank="1" showInputMessage="1" showErrorMessage="1" sqref="A60:A82 A2:A50" xr:uid="{066173E7-76F2-4A86-8AD5-33300000DEDC}">
      <formula1>MachineList</formula1>
    </dataValidation>
    <dataValidation type="list" allowBlank="1" showInputMessage="1" showErrorMessage="1" sqref="K61" xr:uid="{8FA3B9F3-1E16-44A0-9B17-94F0131941CC}">
      <formula1>"Conrad,Caroline,Calcea,Cooper,Quinton,Kiran,Lacie,Mahi,Rohan,Jacob,Madison"</formula1>
    </dataValidation>
    <dataValidation allowBlank="1" showInputMessage="1" showErrorMessage="1" sqref="F85:F1048576 F1:F2 F53:F59" xr:uid="{3088E5DC-C771-40ED-BD57-B75924D853A9}"/>
    <dataValidation type="list" allowBlank="1" showInputMessage="1" showErrorMessage="1" sqref="J53" xr:uid="{78DE406C-AF4A-4975-B52E-6CFB4FE53D21}">
      <formula1>"Conrad,Spencer,Kiran,Jack Wayne,Morgan"</formula1>
    </dataValidation>
    <dataValidation type="list" allowBlank="1" showInputMessage="1" showErrorMessage="1" sqref="A53 A85" xr:uid="{7179EB1D-BCD0-469F-B474-60E08950CDC8}">
      <formula1>"Prusa,Ultimaker S5,Ultimaker 2+,Raise3D Pro 2 Plus,Markforged Onyx,Form 2, Form 2 Specialty,Plasma,Forest CNC"</formula1>
    </dataValidation>
    <dataValidation type="list" allowBlank="1" showInputMessage="1" showErrorMessage="1" sqref="A59" xr:uid="{EEE70B02-7382-4745-A5DE-FD048551E879}">
      <formula1>"Prusa,Raise3D Pro 2 Plus,Ultimaker S5,Ultimaker 2+,Markforged Onyx,Form 2,Form 2 Specialty"</formula1>
    </dataValidation>
    <dataValidation type="list" allowBlank="1" showInputMessage="1" showErrorMessage="1" sqref="K53 K60:K82 K3:K50" xr:uid="{E153120C-D8E2-4C2E-B0C4-9E0874E4E01C}">
      <formula1>"Open,Closed"</formula1>
    </dataValidation>
    <dataValidation type="whole" allowBlank="1" showInputMessage="1" showErrorMessage="1" sqref="F60:F82 I3:I50 I53 I60:I82 I85 F3:F50" xr:uid="{A70334F7-6FC3-4076-8F38-F7B053446FE1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91E1-F703-4B71-87BF-B3B164FD6C63}">
  <dimension ref="A1:CF84"/>
  <sheetViews>
    <sheetView topLeftCell="A24" zoomScaleNormal="100" workbookViewId="0">
      <selection activeCell="D33" sqref="D33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84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84" s="7" customFormat="1" ht="15.75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ht="15.75">
      <c r="A3" s="36" t="s">
        <v>16</v>
      </c>
      <c r="B3" s="37">
        <f>_xlfn.XLOOKUP(Log_Atkinson14528[[#This Row],[Machine ]], PriceTable[Machine], PriceTable[$/Unit], "")</f>
        <v>0.1</v>
      </c>
      <c r="C3" s="25"/>
      <c r="D3" s="38">
        <v>30.6</v>
      </c>
      <c r="E3" s="23" t="s">
        <v>260</v>
      </c>
      <c r="F3" s="24"/>
      <c r="G3" s="25"/>
      <c r="H3" s="26">
        <v>45778</v>
      </c>
      <c r="I3" s="24">
        <v>302</v>
      </c>
      <c r="J3" s="24" t="s">
        <v>261</v>
      </c>
      <c r="K3" s="24" t="s">
        <v>20</v>
      </c>
    </row>
    <row r="4" spans="1:84" ht="15.75">
      <c r="A4" s="36" t="s">
        <v>12</v>
      </c>
      <c r="B4" s="37">
        <f>_xlfn.XLOOKUP(Log_Atkinson14528[[#This Row],[Machine ]], PriceTable[Machine], PriceTable[$/Unit], "")</f>
        <v>0</v>
      </c>
      <c r="C4" s="29"/>
      <c r="D4" s="38">
        <v>7.1</v>
      </c>
      <c r="E4" s="27" t="s">
        <v>262</v>
      </c>
      <c r="F4" s="28"/>
      <c r="G4" s="29"/>
      <c r="H4" s="30">
        <v>45778</v>
      </c>
      <c r="I4" s="28">
        <v>303</v>
      </c>
      <c r="J4" s="24" t="s">
        <v>261</v>
      </c>
      <c r="K4" s="28" t="s">
        <v>20</v>
      </c>
    </row>
    <row r="5" spans="1:84" ht="15.75">
      <c r="A5" s="36" t="s">
        <v>12</v>
      </c>
      <c r="B5" s="39">
        <f>_xlfn.XLOOKUP(Log_Atkinson14528[[#This Row],[Machine ]], PriceTable[Machine], PriceTable[$/Unit], "")</f>
        <v>0</v>
      </c>
      <c r="C5" s="25"/>
      <c r="D5" s="38">
        <v>17.7</v>
      </c>
      <c r="E5" s="23" t="s">
        <v>263</v>
      </c>
      <c r="F5" s="24"/>
      <c r="G5" s="25"/>
      <c r="H5" s="26">
        <v>45778</v>
      </c>
      <c r="I5" s="24">
        <v>304</v>
      </c>
      <c r="J5" s="24" t="s">
        <v>261</v>
      </c>
      <c r="K5" s="24" t="s">
        <v>20</v>
      </c>
    </row>
    <row r="6" spans="1:84" ht="15.75">
      <c r="A6" s="36" t="s">
        <v>12</v>
      </c>
      <c r="B6" s="37">
        <f>_xlfn.XLOOKUP(Log_Atkinson14528[[#This Row],[Machine ]], PriceTable[Machine], PriceTable[$/Unit], "")</f>
        <v>0</v>
      </c>
      <c r="C6" s="29"/>
      <c r="D6" s="38">
        <v>23.9</v>
      </c>
      <c r="E6" s="27" t="s">
        <v>264</v>
      </c>
      <c r="F6" s="28"/>
      <c r="G6" s="29"/>
      <c r="H6" s="30">
        <v>45778</v>
      </c>
      <c r="I6" s="28">
        <v>305</v>
      </c>
      <c r="J6" s="24" t="s">
        <v>261</v>
      </c>
      <c r="K6" s="28" t="s">
        <v>20</v>
      </c>
    </row>
    <row r="7" spans="1:84" ht="15.75">
      <c r="A7" s="36" t="s">
        <v>12</v>
      </c>
      <c r="B7" s="39">
        <f>_xlfn.XLOOKUP(Log_Atkinson14528[[#This Row],[Machine ]], PriceTable[Machine], PriceTable[$/Unit], "")</f>
        <v>0</v>
      </c>
      <c r="C7" s="25"/>
      <c r="D7" s="38">
        <v>15.7</v>
      </c>
      <c r="E7" s="23" t="s">
        <v>265</v>
      </c>
      <c r="F7" s="24"/>
      <c r="G7" s="25"/>
      <c r="H7" s="26">
        <v>45778</v>
      </c>
      <c r="I7" s="24">
        <v>306</v>
      </c>
      <c r="J7" s="24" t="s">
        <v>261</v>
      </c>
      <c r="K7" s="24" t="s">
        <v>20</v>
      </c>
    </row>
    <row r="8" spans="1:84" ht="15.75">
      <c r="A8" s="36" t="s">
        <v>12</v>
      </c>
      <c r="B8" s="37">
        <f>_xlfn.XLOOKUP(Log_Atkinson14528[[#This Row],[Machine ]], PriceTable[Machine], PriceTable[$/Unit], "")</f>
        <v>0</v>
      </c>
      <c r="C8" s="29"/>
      <c r="D8" s="38">
        <v>12.1</v>
      </c>
      <c r="E8" s="27" t="s">
        <v>266</v>
      </c>
      <c r="F8" s="28"/>
      <c r="G8" s="29"/>
      <c r="H8" s="30">
        <v>45778</v>
      </c>
      <c r="I8" s="28">
        <v>307</v>
      </c>
      <c r="J8" s="24" t="s">
        <v>261</v>
      </c>
      <c r="K8" s="28" t="s">
        <v>20</v>
      </c>
    </row>
    <row r="9" spans="1:84" ht="15.75">
      <c r="A9" s="36" t="s">
        <v>12</v>
      </c>
      <c r="B9" s="39">
        <f>_xlfn.XLOOKUP(Log_Atkinson14528[[#This Row],[Machine ]], PriceTable[Machine], PriceTable[$/Unit], "")</f>
        <v>0</v>
      </c>
      <c r="C9" s="25"/>
      <c r="D9" s="38">
        <v>3</v>
      </c>
      <c r="E9" s="23" t="s">
        <v>267</v>
      </c>
      <c r="F9" s="24"/>
      <c r="G9" s="25"/>
      <c r="H9" s="26">
        <v>45778</v>
      </c>
      <c r="I9" s="24">
        <v>308</v>
      </c>
      <c r="J9" s="24" t="s">
        <v>261</v>
      </c>
      <c r="K9" s="24" t="s">
        <v>20</v>
      </c>
    </row>
    <row r="10" spans="1:84" ht="15.75">
      <c r="A10" s="36" t="s">
        <v>12</v>
      </c>
      <c r="B10" s="37">
        <f>_xlfn.XLOOKUP(Log_Atkinson14528[[#This Row],[Machine ]], PriceTable[Machine], PriceTable[$/Unit], "")</f>
        <v>0</v>
      </c>
      <c r="C10" s="29"/>
      <c r="D10" s="38">
        <v>17.399999999999999</v>
      </c>
      <c r="E10" s="27" t="s">
        <v>268</v>
      </c>
      <c r="F10" s="28"/>
      <c r="G10" s="29"/>
      <c r="H10" s="30">
        <v>45778</v>
      </c>
      <c r="I10" s="28">
        <v>310</v>
      </c>
      <c r="J10" s="24" t="s">
        <v>261</v>
      </c>
      <c r="K10" s="28" t="s">
        <v>20</v>
      </c>
    </row>
    <row r="11" spans="1:84" ht="15.75">
      <c r="A11" s="36" t="s">
        <v>12</v>
      </c>
      <c r="B11" s="39">
        <f>_xlfn.XLOOKUP(Log_Atkinson14528[[#This Row],[Machine ]], PriceTable[Machine], PriceTable[$/Unit], "")</f>
        <v>0</v>
      </c>
      <c r="C11" s="25"/>
      <c r="D11" s="38">
        <v>11.7</v>
      </c>
      <c r="E11" s="23" t="s">
        <v>269</v>
      </c>
      <c r="F11" s="24"/>
      <c r="G11" s="25"/>
      <c r="H11" s="26">
        <v>45778</v>
      </c>
      <c r="I11" s="24">
        <v>311</v>
      </c>
      <c r="J11" s="24" t="s">
        <v>261</v>
      </c>
      <c r="K11" s="24" t="s">
        <v>20</v>
      </c>
    </row>
    <row r="12" spans="1:84" ht="15.75">
      <c r="A12" s="36" t="s">
        <v>12</v>
      </c>
      <c r="B12" s="37">
        <f>_xlfn.XLOOKUP(Log_Atkinson14528[[#This Row],[Machine ]], PriceTable[Machine], PriceTable[$/Unit], "")</f>
        <v>0</v>
      </c>
      <c r="C12" s="29"/>
      <c r="D12" s="38">
        <v>3</v>
      </c>
      <c r="E12" s="27" t="s">
        <v>270</v>
      </c>
      <c r="F12" s="28"/>
      <c r="G12" s="29"/>
      <c r="H12" s="30">
        <v>45778</v>
      </c>
      <c r="I12" s="28">
        <v>312</v>
      </c>
      <c r="J12" s="24" t="s">
        <v>261</v>
      </c>
      <c r="K12" s="28" t="s">
        <v>20</v>
      </c>
    </row>
    <row r="13" spans="1:84" ht="15.75">
      <c r="A13" s="36" t="s">
        <v>12</v>
      </c>
      <c r="B13" s="39">
        <f>_xlfn.XLOOKUP(Log_Atkinson14528[[#This Row],[Machine ]], PriceTable[Machine], PriceTable[$/Unit], "")</f>
        <v>0</v>
      </c>
      <c r="C13" s="25"/>
      <c r="D13" s="38">
        <v>19.899999999999999</v>
      </c>
      <c r="E13" s="23" t="s">
        <v>271</v>
      </c>
      <c r="F13" s="24"/>
      <c r="G13" s="25"/>
      <c r="H13" s="26">
        <v>45778</v>
      </c>
      <c r="I13" s="24">
        <v>314</v>
      </c>
      <c r="J13" s="24" t="s">
        <v>261</v>
      </c>
      <c r="K13" s="24" t="s">
        <v>20</v>
      </c>
    </row>
    <row r="14" spans="1:84" ht="15.75">
      <c r="A14" s="36" t="s">
        <v>12</v>
      </c>
      <c r="B14" s="37">
        <f>_xlfn.XLOOKUP(Log_Atkinson14528[[#This Row],[Machine ]], PriceTable[Machine], PriceTable[$/Unit], "")</f>
        <v>0</v>
      </c>
      <c r="C14" s="29"/>
      <c r="D14" s="38">
        <v>5.3</v>
      </c>
      <c r="E14" s="27" t="s">
        <v>272</v>
      </c>
      <c r="F14" s="28"/>
      <c r="G14" s="29"/>
      <c r="H14" s="30">
        <v>45778</v>
      </c>
      <c r="I14" s="28">
        <v>315</v>
      </c>
      <c r="J14" s="24" t="s">
        <v>261</v>
      </c>
      <c r="K14" s="28" t="s">
        <v>20</v>
      </c>
    </row>
    <row r="15" spans="1:84" ht="15.75">
      <c r="A15" s="36" t="s">
        <v>12</v>
      </c>
      <c r="B15" s="39">
        <f>_xlfn.XLOOKUP(Log_Atkinson14528[[#This Row],[Machine ]], PriceTable[Machine], PriceTable[$/Unit], "")</f>
        <v>0</v>
      </c>
      <c r="C15" s="25"/>
      <c r="D15" s="38">
        <v>3</v>
      </c>
      <c r="E15" s="23" t="s">
        <v>273</v>
      </c>
      <c r="F15" s="24"/>
      <c r="G15" s="25"/>
      <c r="H15" s="26">
        <v>45778</v>
      </c>
      <c r="I15" s="24">
        <v>316</v>
      </c>
      <c r="J15" s="24" t="s">
        <v>261</v>
      </c>
      <c r="K15" s="24" t="s">
        <v>20</v>
      </c>
    </row>
    <row r="16" spans="1:84" ht="15.75">
      <c r="A16" s="36" t="s">
        <v>12</v>
      </c>
      <c r="B16" s="37">
        <f>_xlfn.XLOOKUP(Log_Atkinson14528[[#This Row],[Machine ]], PriceTable[Machine], PriceTable[$/Unit], "")</f>
        <v>0</v>
      </c>
      <c r="C16" s="29"/>
      <c r="D16" s="38">
        <v>3</v>
      </c>
      <c r="E16" s="27" t="s">
        <v>274</v>
      </c>
      <c r="F16" s="28"/>
      <c r="G16" s="29"/>
      <c r="H16" s="30">
        <v>45779</v>
      </c>
      <c r="I16" s="28">
        <v>317</v>
      </c>
      <c r="J16" s="24" t="s">
        <v>261</v>
      </c>
      <c r="K16" s="28" t="s">
        <v>20</v>
      </c>
    </row>
    <row r="17" spans="1:11" ht="15.75">
      <c r="A17" s="36" t="s">
        <v>12</v>
      </c>
      <c r="B17" s="39">
        <f>_xlfn.XLOOKUP(Log_Atkinson14528[[#This Row],[Machine ]], PriceTable[Machine], PriceTable[$/Unit], "")</f>
        <v>0</v>
      </c>
      <c r="C17" s="25"/>
      <c r="D17" s="38">
        <v>7.4</v>
      </c>
      <c r="E17" s="23" t="s">
        <v>275</v>
      </c>
      <c r="F17" s="24"/>
      <c r="G17" s="25"/>
      <c r="H17" s="26">
        <v>45779</v>
      </c>
      <c r="I17" s="24">
        <v>318</v>
      </c>
      <c r="J17" s="24" t="s">
        <v>261</v>
      </c>
      <c r="K17" s="24" t="s">
        <v>20</v>
      </c>
    </row>
    <row r="18" spans="1:11" ht="15.75">
      <c r="A18" s="36" t="s">
        <v>12</v>
      </c>
      <c r="B18" s="37">
        <f>_xlfn.XLOOKUP(Log_Atkinson14528[[#This Row],[Machine ]], PriceTable[Machine], PriceTable[$/Unit], "")</f>
        <v>0</v>
      </c>
      <c r="C18" s="29"/>
      <c r="D18" s="38">
        <v>0.2</v>
      </c>
      <c r="E18" s="27" t="s">
        <v>276</v>
      </c>
      <c r="F18" s="28"/>
      <c r="G18" s="29"/>
      <c r="H18" s="30">
        <v>45779</v>
      </c>
      <c r="I18" s="28">
        <v>319</v>
      </c>
      <c r="J18" s="24" t="s">
        <v>261</v>
      </c>
      <c r="K18" s="28" t="s">
        <v>20</v>
      </c>
    </row>
    <row r="19" spans="1:11" ht="15.75">
      <c r="A19" s="36" t="s">
        <v>12</v>
      </c>
      <c r="B19" s="39">
        <f>_xlfn.XLOOKUP(Log_Atkinson14528[[#This Row],[Machine ]], PriceTable[Machine], PriceTable[$/Unit], "")</f>
        <v>0</v>
      </c>
      <c r="C19" s="25"/>
      <c r="D19" s="38">
        <v>5.2</v>
      </c>
      <c r="E19" s="23" t="s">
        <v>277</v>
      </c>
      <c r="F19" s="24"/>
      <c r="G19" s="25"/>
      <c r="H19" s="26">
        <v>45782</v>
      </c>
      <c r="I19" s="24">
        <v>320</v>
      </c>
      <c r="J19" s="24" t="s">
        <v>261</v>
      </c>
      <c r="K19" s="24" t="s">
        <v>20</v>
      </c>
    </row>
    <row r="20" spans="1:11" ht="15.75">
      <c r="A20" s="36" t="s">
        <v>12</v>
      </c>
      <c r="B20" s="37">
        <f>_xlfn.XLOOKUP(Log_Atkinson14528[[#This Row],[Machine ]], PriceTable[Machine], PriceTable[$/Unit], "")</f>
        <v>0</v>
      </c>
      <c r="C20" s="29"/>
      <c r="D20" s="38">
        <v>16.2</v>
      </c>
      <c r="E20" s="27" t="s">
        <v>278</v>
      </c>
      <c r="F20" s="28"/>
      <c r="G20" s="29"/>
      <c r="H20" s="30">
        <v>45782</v>
      </c>
      <c r="I20" s="28">
        <v>321</v>
      </c>
      <c r="J20" s="24" t="s">
        <v>261</v>
      </c>
      <c r="K20" s="28" t="s">
        <v>20</v>
      </c>
    </row>
    <row r="21" spans="1:11" ht="15.75">
      <c r="A21" s="36" t="s">
        <v>12</v>
      </c>
      <c r="B21" s="39">
        <f>_xlfn.XLOOKUP(Log_Atkinson14528[[#This Row],[Machine ]], PriceTable[Machine], PriceTable[$/Unit], "")</f>
        <v>0</v>
      </c>
      <c r="C21" s="25"/>
      <c r="D21" s="38">
        <v>3</v>
      </c>
      <c r="E21" s="23" t="s">
        <v>279</v>
      </c>
      <c r="F21" s="24"/>
      <c r="G21" s="25"/>
      <c r="H21" s="26">
        <v>45783</v>
      </c>
      <c r="I21" s="24">
        <v>322</v>
      </c>
      <c r="J21" s="24" t="s">
        <v>261</v>
      </c>
      <c r="K21" s="24" t="s">
        <v>20</v>
      </c>
    </row>
    <row r="22" spans="1:11" ht="15.75">
      <c r="A22" s="36" t="s">
        <v>12</v>
      </c>
      <c r="B22" s="37">
        <f>_xlfn.XLOOKUP(Log_Atkinson14528[[#This Row],[Machine ]], PriceTable[Machine], PriceTable[$/Unit], "")</f>
        <v>0</v>
      </c>
      <c r="C22" s="29"/>
      <c r="D22" s="38">
        <v>40.299999999999997</v>
      </c>
      <c r="E22" s="27" t="s">
        <v>280</v>
      </c>
      <c r="F22" s="28"/>
      <c r="G22" s="29"/>
      <c r="H22" s="30">
        <v>45783</v>
      </c>
      <c r="I22" s="28">
        <v>323</v>
      </c>
      <c r="J22" s="24" t="s">
        <v>261</v>
      </c>
      <c r="K22" s="28" t="s">
        <v>20</v>
      </c>
    </row>
    <row r="23" spans="1:11" ht="15.75">
      <c r="A23" s="36" t="s">
        <v>12</v>
      </c>
      <c r="B23" s="39">
        <f>_xlfn.XLOOKUP(Log_Atkinson14528[[#This Row],[Machine ]], PriceTable[Machine], PriceTable[$/Unit], "")</f>
        <v>0</v>
      </c>
      <c r="C23" s="25"/>
      <c r="D23" s="38">
        <v>4.9000000000000004</v>
      </c>
      <c r="E23" s="23" t="s">
        <v>279</v>
      </c>
      <c r="F23" s="24"/>
      <c r="G23" s="25"/>
      <c r="H23" s="26">
        <v>45784</v>
      </c>
      <c r="I23" s="24">
        <v>324</v>
      </c>
      <c r="J23" s="24" t="s">
        <v>261</v>
      </c>
      <c r="K23" s="24" t="s">
        <v>20</v>
      </c>
    </row>
    <row r="24" spans="1:11" ht="15.75">
      <c r="A24" s="36" t="s">
        <v>12</v>
      </c>
      <c r="B24" s="37">
        <f>_xlfn.XLOOKUP(Log_Atkinson14528[[#This Row],[Machine ]], PriceTable[Machine], PriceTable[$/Unit], "")</f>
        <v>0</v>
      </c>
      <c r="C24" s="29"/>
      <c r="D24" s="38">
        <v>6.6</v>
      </c>
      <c r="E24" s="27" t="s">
        <v>281</v>
      </c>
      <c r="F24" s="28"/>
      <c r="G24" s="29"/>
      <c r="H24" s="30">
        <v>45785</v>
      </c>
      <c r="I24" s="28">
        <v>325</v>
      </c>
      <c r="J24" s="24" t="s">
        <v>261</v>
      </c>
      <c r="K24" s="28" t="s">
        <v>20</v>
      </c>
    </row>
    <row r="25" spans="1:11" ht="15.75">
      <c r="A25" s="36" t="s">
        <v>12</v>
      </c>
      <c r="B25" s="39">
        <f>_xlfn.XLOOKUP(Log_Atkinson14528[[#This Row],[Machine ]], PriceTable[Machine], PriceTable[$/Unit], "")</f>
        <v>0</v>
      </c>
      <c r="C25" s="25"/>
      <c r="D25" s="38">
        <v>12.3</v>
      </c>
      <c r="E25" s="23" t="s">
        <v>282</v>
      </c>
      <c r="F25" s="24"/>
      <c r="G25" s="25"/>
      <c r="H25" s="26">
        <v>45785</v>
      </c>
      <c r="I25" s="24">
        <v>326</v>
      </c>
      <c r="J25" s="24" t="s">
        <v>261</v>
      </c>
      <c r="K25" s="24" t="s">
        <v>20</v>
      </c>
    </row>
    <row r="26" spans="1:11" ht="15.75">
      <c r="A26" s="36" t="s">
        <v>12</v>
      </c>
      <c r="B26" s="37">
        <f>_xlfn.XLOOKUP(Log_Atkinson14528[[#This Row],[Machine ]], PriceTable[Machine], PriceTable[$/Unit], "")</f>
        <v>0</v>
      </c>
      <c r="C26" s="29"/>
      <c r="D26" s="38">
        <v>8</v>
      </c>
      <c r="E26" s="27" t="s">
        <v>282</v>
      </c>
      <c r="F26" s="28"/>
      <c r="G26" s="29"/>
      <c r="H26" s="30">
        <v>45785</v>
      </c>
      <c r="I26" s="28">
        <v>327</v>
      </c>
      <c r="J26" s="24" t="s">
        <v>261</v>
      </c>
      <c r="K26" s="28" t="s">
        <v>20</v>
      </c>
    </row>
    <row r="27" spans="1:11" ht="15.75">
      <c r="A27" s="36" t="s">
        <v>12</v>
      </c>
      <c r="B27" s="39">
        <f>_xlfn.XLOOKUP(Log_Atkinson14528[[#This Row],[Machine ]], PriceTable[Machine], PriceTable[$/Unit], "")</f>
        <v>0</v>
      </c>
      <c r="C27" s="25"/>
      <c r="D27" s="38">
        <v>10.4</v>
      </c>
      <c r="E27" s="23" t="s">
        <v>277</v>
      </c>
      <c r="F27" s="24"/>
      <c r="G27" s="25"/>
      <c r="H27" s="26">
        <v>45786</v>
      </c>
      <c r="I27" s="24">
        <v>328</v>
      </c>
      <c r="J27" s="24" t="s">
        <v>261</v>
      </c>
      <c r="K27" s="24" t="s">
        <v>20</v>
      </c>
    </row>
    <row r="28" spans="1:11" ht="15.75">
      <c r="A28" s="36" t="s">
        <v>12</v>
      </c>
      <c r="B28" s="37">
        <f>_xlfn.XLOOKUP(Log_Atkinson14528[[#This Row],[Machine ]], PriceTable[Machine], PriceTable[$/Unit], "")</f>
        <v>0</v>
      </c>
      <c r="C28" s="29"/>
      <c r="D28" s="38">
        <v>26</v>
      </c>
      <c r="E28" s="27" t="s">
        <v>283</v>
      </c>
      <c r="F28" s="28"/>
      <c r="G28" s="29"/>
      <c r="H28" s="30">
        <v>45804</v>
      </c>
      <c r="I28" s="28">
        <v>329</v>
      </c>
      <c r="J28" s="24" t="s">
        <v>261</v>
      </c>
      <c r="K28" s="28" t="s">
        <v>20</v>
      </c>
    </row>
    <row r="29" spans="1:11" ht="15.75">
      <c r="A29" s="36"/>
      <c r="B29" s="40"/>
      <c r="C29" s="25"/>
      <c r="D29" s="38"/>
      <c r="E29" s="23"/>
      <c r="F29" s="24"/>
      <c r="G29" s="25"/>
      <c r="H29" s="26"/>
      <c r="I29" s="24"/>
      <c r="J29" s="24"/>
      <c r="K29" s="24"/>
    </row>
    <row r="30" spans="1:11" ht="15.75">
      <c r="A30" s="36"/>
      <c r="B30" s="39" t="str">
        <f>_xlfn.XLOOKUP(Log_Atkinson14528[[#This Row],[Machine ]], PriceTable[Machine], PriceTable[$/Unit], "")</f>
        <v/>
      </c>
      <c r="C30" s="25"/>
      <c r="D30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0" s="23"/>
      <c r="F30" s="24"/>
      <c r="G30" s="25"/>
      <c r="H30" s="26"/>
      <c r="I30" s="24"/>
      <c r="J30" s="24"/>
      <c r="K30" s="24"/>
    </row>
    <row r="31" spans="1:11" ht="15.75">
      <c r="A31" s="36" t="s">
        <v>16</v>
      </c>
      <c r="B31" s="37">
        <f>_xlfn.XLOOKUP(Log_Atkinson14528[[#This Row],[Machine ]], PriceTable[Machine], PriceTable[$/Unit], "")</f>
        <v>0.1</v>
      </c>
      <c r="C31" s="29"/>
      <c r="D31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1" s="27"/>
      <c r="F31" s="28"/>
      <c r="G31" s="29"/>
      <c r="H31" s="30"/>
      <c r="I31" s="28"/>
      <c r="J31" s="24"/>
      <c r="K31" s="28"/>
    </row>
    <row r="32" spans="1:11" ht="15.75">
      <c r="A32" s="36" t="s">
        <v>12</v>
      </c>
      <c r="B32" s="39">
        <f>_xlfn.XLOOKUP(Log_Atkinson14528[[#This Row],[Machine ]], PriceTable[Machine], PriceTable[$/Unit], "")</f>
        <v>0</v>
      </c>
      <c r="C32" s="25"/>
      <c r="D32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2" s="23"/>
      <c r="F32" s="24"/>
      <c r="G32" s="25"/>
      <c r="H32" s="26"/>
      <c r="I32" s="24"/>
      <c r="J32" s="24"/>
      <c r="K32" s="24"/>
    </row>
    <row r="33" spans="1:11" ht="15.75">
      <c r="A33" s="36" t="s">
        <v>12</v>
      </c>
      <c r="B33" s="37">
        <f>_xlfn.XLOOKUP(Log_Atkinson14528[[#This Row],[Machine ]], PriceTable[Machine], PriceTable[$/Unit], "")</f>
        <v>0</v>
      </c>
      <c r="C33" s="29"/>
      <c r="D33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3" s="27"/>
      <c r="F33" s="28"/>
      <c r="G33" s="29"/>
      <c r="H33" s="30"/>
      <c r="I33" s="28"/>
      <c r="J33" s="24"/>
      <c r="K33" s="28"/>
    </row>
    <row r="34" spans="1:11" ht="15.75">
      <c r="A34" s="36" t="s">
        <v>12</v>
      </c>
      <c r="B34" s="39">
        <f>_xlfn.XLOOKUP(Log_Atkinson14528[[#This Row],[Machine ]], PriceTable[Machine], PriceTable[$/Unit], "")</f>
        <v>0</v>
      </c>
      <c r="C34" s="25"/>
      <c r="D34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4" s="23"/>
      <c r="F34" s="24"/>
      <c r="G34" s="25"/>
      <c r="H34" s="26"/>
      <c r="I34" s="24"/>
      <c r="J34" s="24"/>
      <c r="K34" s="24"/>
    </row>
    <row r="35" spans="1:11" ht="15.75">
      <c r="A35" s="36" t="s">
        <v>12</v>
      </c>
      <c r="B35" s="37">
        <f>_xlfn.XLOOKUP(Log_Atkinson14528[[#This Row],[Machine ]], PriceTable[Machine], PriceTable[$/Unit], "")</f>
        <v>0</v>
      </c>
      <c r="C35" s="29"/>
      <c r="D35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5" s="27"/>
      <c r="F35" s="28"/>
      <c r="G35" s="29"/>
      <c r="H35" s="30"/>
      <c r="I35" s="28"/>
      <c r="J35" s="24"/>
      <c r="K35" s="28"/>
    </row>
    <row r="36" spans="1:11" ht="15.75">
      <c r="A36" s="36" t="s">
        <v>12</v>
      </c>
      <c r="B36" s="39">
        <f>_xlfn.XLOOKUP(Log_Atkinson14528[[#This Row],[Machine ]], PriceTable[Machine], PriceTable[$/Unit], "")</f>
        <v>0</v>
      </c>
      <c r="C36" s="25"/>
      <c r="D36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6" s="23"/>
      <c r="F36" s="24"/>
      <c r="G36" s="25"/>
      <c r="H36" s="26"/>
      <c r="I36" s="24"/>
      <c r="J36" s="24"/>
      <c r="K36" s="24"/>
    </row>
    <row r="37" spans="1:11" ht="15.75">
      <c r="A37" s="36" t="s">
        <v>12</v>
      </c>
      <c r="B37" s="37">
        <f>_xlfn.XLOOKUP(Log_Atkinson14528[[#This Row],[Machine ]], PriceTable[Machine], PriceTable[$/Unit], "")</f>
        <v>0</v>
      </c>
      <c r="C37" s="29"/>
      <c r="D37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7" s="27"/>
      <c r="F37" s="28"/>
      <c r="G37" s="29"/>
      <c r="H37" s="30"/>
      <c r="I37" s="28"/>
      <c r="J37" s="24"/>
      <c r="K37" s="28"/>
    </row>
    <row r="38" spans="1:11" ht="15.75">
      <c r="A38" s="36" t="s">
        <v>12</v>
      </c>
      <c r="B38" s="39">
        <f>_xlfn.XLOOKUP(Log_Atkinson14528[[#This Row],[Machine ]], PriceTable[Machine], PriceTable[$/Unit], "")</f>
        <v>0</v>
      </c>
      <c r="C38" s="25"/>
      <c r="D38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8" s="23"/>
      <c r="F38" s="24"/>
      <c r="G38" s="25"/>
      <c r="H38" s="26"/>
      <c r="I38" s="24"/>
      <c r="J38" s="24"/>
      <c r="K38" s="24"/>
    </row>
    <row r="39" spans="1:11" ht="15.75">
      <c r="A39" s="36" t="s">
        <v>12</v>
      </c>
      <c r="B39" s="37">
        <f>_xlfn.XLOOKUP(Log_Atkinson14528[[#This Row],[Machine ]], PriceTable[Machine], PriceTable[$/Unit], "")</f>
        <v>0</v>
      </c>
      <c r="C39" s="29"/>
      <c r="D39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39" s="27"/>
      <c r="F39" s="28"/>
      <c r="G39" s="29"/>
      <c r="H39" s="30"/>
      <c r="I39" s="28"/>
      <c r="J39" s="24"/>
      <c r="K39" s="28"/>
    </row>
    <row r="40" spans="1:11" ht="15.75">
      <c r="A40" s="36" t="s">
        <v>12</v>
      </c>
      <c r="B40" s="39">
        <f>_xlfn.XLOOKUP(Log_Atkinson14528[[#This Row],[Machine ]], PriceTable[Machine], PriceTable[$/Unit], "")</f>
        <v>0</v>
      </c>
      <c r="C40" s="25"/>
      <c r="D40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0" s="23"/>
      <c r="F40" s="24"/>
      <c r="G40" s="25"/>
      <c r="H40" s="26"/>
      <c r="I40" s="24"/>
      <c r="J40" s="24"/>
      <c r="K40" s="24"/>
    </row>
    <row r="41" spans="1:11" ht="15.75">
      <c r="A41" s="36" t="s">
        <v>12</v>
      </c>
      <c r="B41" s="37">
        <f>_xlfn.XLOOKUP(Log_Atkinson14528[[#This Row],[Machine ]], PriceTable[Machine], PriceTable[$/Unit], "")</f>
        <v>0</v>
      </c>
      <c r="C41" s="29"/>
      <c r="D41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1" s="27"/>
      <c r="F41" s="28"/>
      <c r="G41" s="29"/>
      <c r="H41" s="30"/>
      <c r="I41" s="28"/>
      <c r="J41" s="24"/>
      <c r="K41" s="28"/>
    </row>
    <row r="42" spans="1:11" ht="15.75">
      <c r="A42" s="36" t="s">
        <v>12</v>
      </c>
      <c r="B42" s="39">
        <f>_xlfn.XLOOKUP(Log_Atkinson14528[[#This Row],[Machine ]], PriceTable[Machine], PriceTable[$/Unit], "")</f>
        <v>0</v>
      </c>
      <c r="C42" s="25"/>
      <c r="D42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2" s="23"/>
      <c r="F42" s="24"/>
      <c r="G42" s="25"/>
      <c r="H42" s="26"/>
      <c r="I42" s="24"/>
      <c r="J42" s="24"/>
      <c r="K42" s="24"/>
    </row>
    <row r="43" spans="1:11" ht="15.75">
      <c r="A43" s="36" t="s">
        <v>12</v>
      </c>
      <c r="B43" s="37">
        <f>_xlfn.XLOOKUP(Log_Atkinson14528[[#This Row],[Machine ]], PriceTable[Machine], PriceTable[$/Unit], "")</f>
        <v>0</v>
      </c>
      <c r="C43" s="29"/>
      <c r="D43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3" s="27"/>
      <c r="F43" s="28"/>
      <c r="G43" s="29"/>
      <c r="H43" s="30"/>
      <c r="I43" s="28"/>
      <c r="J43" s="24"/>
      <c r="K43" s="28"/>
    </row>
    <row r="44" spans="1:11" ht="15.75">
      <c r="A44" s="36" t="s">
        <v>12</v>
      </c>
      <c r="B44" s="39">
        <f>_xlfn.XLOOKUP(Log_Atkinson14528[[#This Row],[Machine ]], PriceTable[Machine], PriceTable[$/Unit], "")</f>
        <v>0</v>
      </c>
      <c r="C44" s="25"/>
      <c r="D44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4" s="23"/>
      <c r="F44" s="24"/>
      <c r="G44" s="25"/>
      <c r="H44" s="26"/>
      <c r="I44" s="24"/>
      <c r="J44" s="24"/>
      <c r="K44" s="24"/>
    </row>
    <row r="45" spans="1:11" ht="15.75">
      <c r="A45" s="36" t="s">
        <v>12</v>
      </c>
      <c r="B45" s="37">
        <f>_xlfn.XLOOKUP(Log_Atkinson14528[[#This Row],[Machine ]], PriceTable[Machine], PriceTable[$/Unit], "")</f>
        <v>0</v>
      </c>
      <c r="C45" s="29"/>
      <c r="D45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5" s="27"/>
      <c r="F45" s="28"/>
      <c r="G45" s="29"/>
      <c r="H45" s="30"/>
      <c r="I45" s="28"/>
      <c r="J45" s="24"/>
      <c r="K45" s="28"/>
    </row>
    <row r="46" spans="1:11" ht="15.75">
      <c r="A46" s="36" t="s">
        <v>12</v>
      </c>
      <c r="B46" s="39">
        <f>_xlfn.XLOOKUP(Log_Atkinson14528[[#This Row],[Machine ]], PriceTable[Machine], PriceTable[$/Unit], "")</f>
        <v>0</v>
      </c>
      <c r="C46" s="25"/>
      <c r="D46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6" s="23"/>
      <c r="F46" s="24"/>
      <c r="G46" s="25"/>
      <c r="H46" s="26"/>
      <c r="I46" s="24"/>
      <c r="J46" s="24"/>
      <c r="K46" s="24"/>
    </row>
    <row r="47" spans="1:11" ht="15.75">
      <c r="A47" s="36" t="s">
        <v>12</v>
      </c>
      <c r="B47" s="37">
        <f>_xlfn.XLOOKUP(Log_Atkinson14528[[#This Row],[Machine ]], PriceTable[Machine], PriceTable[$/Unit], "")</f>
        <v>0</v>
      </c>
      <c r="C47" s="29"/>
      <c r="D47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7" s="27"/>
      <c r="F47" s="28"/>
      <c r="G47" s="29"/>
      <c r="H47" s="30"/>
      <c r="I47" s="28"/>
      <c r="J47" s="24"/>
      <c r="K47" s="28"/>
    </row>
    <row r="48" spans="1:11" ht="15.75">
      <c r="A48" s="36" t="s">
        <v>12</v>
      </c>
      <c r="B48" s="39">
        <f>_xlfn.XLOOKUP(Log_Atkinson14528[[#This Row],[Machine ]], PriceTable[Machine], PriceTable[$/Unit], "")</f>
        <v>0</v>
      </c>
      <c r="C48" s="25"/>
      <c r="D48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8" s="23"/>
      <c r="F48" s="24"/>
      <c r="G48" s="25"/>
      <c r="H48" s="26"/>
      <c r="I48" s="24"/>
      <c r="J48" s="24"/>
      <c r="K48" s="24"/>
    </row>
    <row r="49" spans="1:11" ht="15.75">
      <c r="A49" s="36" t="s">
        <v>12</v>
      </c>
      <c r="B49" s="37">
        <f>_xlfn.XLOOKUP(Log_Atkinson14528[[#This Row],[Machine ]], PriceTable[Machine], PriceTable[$/Unit], "")</f>
        <v>0</v>
      </c>
      <c r="C49" s="29"/>
      <c r="D49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49" s="27"/>
      <c r="F49" s="28"/>
      <c r="G49" s="29"/>
      <c r="H49" s="30"/>
      <c r="I49" s="28"/>
      <c r="J49" s="24"/>
      <c r="K49" s="28"/>
    </row>
    <row r="50" spans="1:11" ht="15.75">
      <c r="A50" s="36" t="s">
        <v>12</v>
      </c>
      <c r="B50" s="39">
        <f>_xlfn.XLOOKUP(Log_Atkinson14528[[#This Row],[Machine ]], PriceTable[Machine], PriceTable[$/Unit], "")</f>
        <v>0</v>
      </c>
      <c r="C50" s="25"/>
      <c r="D50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>
      <c r="A51" s="36" t="s">
        <v>12</v>
      </c>
      <c r="B51" s="39">
        <f>_xlfn.XLOOKUP(Log_Atkinson14528[[#This Row],[Machine ]], PriceTable[Machine], PriceTable[$/Unit], "")</f>
        <v>0</v>
      </c>
      <c r="C51" s="25"/>
      <c r="D51" s="38" t="str">
        <f>IF(OR(Log_Atkinson14528[[#This Row],[Machine ]]="", Log_Atkinson14528[[#This Row],[Unit Amount]]=""), "", IFERROR(MAX(Log_Atkinson14528[[#This Row],[Unit Amount]] * Log_Atkinson14528[[#This Row],[$/Unit]], 3), ""))</f>
        <v/>
      </c>
      <c r="E51" s="23"/>
      <c r="F51" s="24"/>
      <c r="G51" s="25"/>
      <c r="H51" s="26"/>
      <c r="I51" s="24"/>
      <c r="J51" s="24"/>
      <c r="K51" s="24"/>
    </row>
    <row r="52" spans="1:11" ht="15.75" customHeight="1">
      <c r="A52" s="36" t="s">
        <v>13</v>
      </c>
      <c r="B52" s="40"/>
      <c r="C52" s="25"/>
      <c r="D52" s="41"/>
      <c r="E52" s="23"/>
      <c r="F52" s="24"/>
      <c r="G52" s="25"/>
      <c r="H52" s="25"/>
      <c r="I52" s="24"/>
      <c r="J52" s="24"/>
      <c r="K52" s="57">
        <f>SUBTOTAL(109,Log_Atkinson14528[Cost])</f>
        <v>313.89999999999998</v>
      </c>
    </row>
    <row r="53" spans="1:11" ht="15.75">
      <c r="A53" s="42"/>
      <c r="B53" s="43"/>
      <c r="C53" s="44"/>
      <c r="D53" s="45"/>
      <c r="E53" s="46"/>
      <c r="F53" s="47"/>
      <c r="G53" s="44"/>
      <c r="H53" s="44"/>
      <c r="I53" s="47"/>
      <c r="J53" s="47"/>
      <c r="K53" s="47"/>
    </row>
    <row r="54" spans="1:11" ht="15.75">
      <c r="C54" s="48"/>
      <c r="E54" s="49"/>
      <c r="G54" s="49"/>
      <c r="H54" s="50"/>
    </row>
    <row r="55" spans="1:11" ht="15.75">
      <c r="C55" s="51"/>
    </row>
    <row r="56" spans="1:11" ht="15.75" customHeight="1"/>
    <row r="57" spans="1:11" ht="15.75"/>
    <row r="58" spans="1:11" ht="11.25" customHeight="1"/>
    <row r="59" spans="1:11" ht="24">
      <c r="A59" s="64" t="s">
        <v>14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.75">
      <c r="A60" s="52" t="s">
        <v>1</v>
      </c>
      <c r="B60" s="53" t="s">
        <v>2</v>
      </c>
      <c r="C60" s="53" t="s">
        <v>3</v>
      </c>
      <c r="D60" s="54" t="s">
        <v>4</v>
      </c>
      <c r="E60" s="55" t="s">
        <v>5</v>
      </c>
      <c r="F60" s="52" t="s">
        <v>6</v>
      </c>
      <c r="G60" s="55" t="s">
        <v>7</v>
      </c>
      <c r="H60" s="52" t="s">
        <v>15</v>
      </c>
      <c r="I60" s="52" t="s">
        <v>9</v>
      </c>
      <c r="J60" s="52" t="s">
        <v>10</v>
      </c>
      <c r="K60" s="52" t="s">
        <v>11</v>
      </c>
    </row>
    <row r="61" spans="1:11" ht="15.75">
      <c r="A61" s="36" t="s">
        <v>12</v>
      </c>
      <c r="B61" s="39">
        <f>_xlfn.XLOOKUP(Log_Art12329[[#This Row],[Machine ]], PriceTable[Machine], PriceTable[$/Unit], "")</f>
        <v>0</v>
      </c>
      <c r="C61" s="25"/>
      <c r="D61" s="38" t="str">
        <f>IF(OR(Log_Art12329[[#This Row],[Machine ]]="", Log_Art12329[[#This Row],[Unit Amount]]=""), "", IFERROR(MAX(Log_Art12329[[#This Row],[Unit Amount]] * Log_Art12329[[#This Row],[$/Unit]], 3), ""))</f>
        <v/>
      </c>
      <c r="E61" s="23"/>
      <c r="F61" s="24"/>
      <c r="G61" s="25"/>
      <c r="H61" s="26"/>
      <c r="I61" s="24"/>
      <c r="J61" s="24"/>
      <c r="K61" s="24"/>
    </row>
    <row r="62" spans="1:11" ht="15.75">
      <c r="A62" s="36" t="s">
        <v>12</v>
      </c>
      <c r="B62" s="39">
        <f>_xlfn.XLOOKUP(Log_Art12329[[#This Row],[Machine ]], PriceTable[Machine], PriceTable[$/Unit], "")</f>
        <v>0</v>
      </c>
      <c r="C62" s="29"/>
      <c r="D62" s="38" t="str">
        <f>IF(OR(Log_Art12329[[#This Row],[Machine ]]="", Log_Art12329[[#This Row],[Unit Amount]]=""), "", IFERROR(MAX(Log_Art12329[[#This Row],[Unit Amount]] * Log_Art12329[[#This Row],[$/Unit]], 3), ""))</f>
        <v/>
      </c>
      <c r="E62" s="27"/>
      <c r="F62" s="28"/>
      <c r="G62" s="29"/>
      <c r="H62" s="30"/>
      <c r="I62" s="28"/>
      <c r="J62" s="24"/>
      <c r="K62" s="28"/>
    </row>
    <row r="63" spans="1:11" ht="15.75">
      <c r="A63" s="36" t="s">
        <v>12</v>
      </c>
      <c r="B63" s="39">
        <f>_xlfn.XLOOKUP(Log_Art12329[[#This Row],[Machine ]], PriceTable[Machine], PriceTable[$/Unit], "")</f>
        <v>0</v>
      </c>
      <c r="C63" s="25"/>
      <c r="D63" s="38" t="str">
        <f>IF(OR(Log_Art12329[[#This Row],[Machine ]]="", Log_Art12329[[#This Row],[Unit Amount]]=""), "", IFERROR(MAX(Log_Art12329[[#This Row],[Unit Amount]] * Log_Art12329[[#This Row],[$/Unit]], 3), ""))</f>
        <v/>
      </c>
      <c r="E63" s="23"/>
      <c r="F63" s="24"/>
      <c r="G63" s="25"/>
      <c r="H63" s="26"/>
      <c r="I63" s="24"/>
      <c r="J63" s="24"/>
      <c r="K63" s="24"/>
    </row>
    <row r="64" spans="1:11" ht="15.75">
      <c r="A64" s="36" t="s">
        <v>12</v>
      </c>
      <c r="B64" s="39">
        <f>_xlfn.XLOOKUP(Log_Art12329[[#This Row],[Machine ]], PriceTable[Machine], PriceTable[$/Unit], "")</f>
        <v>0</v>
      </c>
      <c r="C64" s="29"/>
      <c r="D64" s="38" t="str">
        <f>IF(OR(Log_Art12329[[#This Row],[Machine ]]="", Log_Art12329[[#This Row],[Unit Amount]]=""), "", IFERROR(MAX(Log_Art12329[[#This Row],[Unit Amount]] * Log_Art12329[[#This Row],[$/Unit]], 3), ""))</f>
        <v/>
      </c>
      <c r="E64" s="27"/>
      <c r="F64" s="28"/>
      <c r="G64" s="29"/>
      <c r="H64" s="30"/>
      <c r="I64" s="28"/>
      <c r="J64" s="24"/>
      <c r="K64" s="28"/>
    </row>
    <row r="65" spans="1:11" ht="15.75">
      <c r="A65" s="36" t="s">
        <v>12</v>
      </c>
      <c r="B65" s="39">
        <f>_xlfn.XLOOKUP(Log_Art12329[[#This Row],[Machine ]], PriceTable[Machine], PriceTable[$/Unit], "")</f>
        <v>0</v>
      </c>
      <c r="C65" s="25"/>
      <c r="D65" s="38" t="str">
        <f>IF(OR(Log_Art12329[[#This Row],[Machine ]]="", Log_Art12329[[#This Row],[Unit Amount]]=""), "", IFERROR(MAX(Log_Art12329[[#This Row],[Unit Amount]] * Log_Art12329[[#This Row],[$/Unit]], 3), ""))</f>
        <v/>
      </c>
      <c r="E65" s="23"/>
      <c r="F65" s="24"/>
      <c r="G65" s="25"/>
      <c r="H65" s="26"/>
      <c r="I65" s="24"/>
      <c r="J65" s="24"/>
      <c r="K65" s="24"/>
    </row>
    <row r="66" spans="1:11" ht="15.75">
      <c r="A66" s="36" t="s">
        <v>12</v>
      </c>
      <c r="B66" s="39">
        <f>_xlfn.XLOOKUP(Log_Art12329[[#This Row],[Machine ]], PriceTable[Machine], PriceTable[$/Unit], "")</f>
        <v>0</v>
      </c>
      <c r="C66" s="29"/>
      <c r="D66" s="38" t="str">
        <f>IF(OR(Log_Art12329[[#This Row],[Machine ]]="", Log_Art12329[[#This Row],[Unit Amount]]=""), "", IFERROR(MAX(Log_Art12329[[#This Row],[Unit Amount]] * Log_Art12329[[#This Row],[$/Unit]], 3), ""))</f>
        <v/>
      </c>
      <c r="E66" s="27"/>
      <c r="F66" s="28"/>
      <c r="G66" s="29"/>
      <c r="H66" s="30"/>
      <c r="I66" s="28"/>
      <c r="J66" s="24"/>
      <c r="K66" s="28"/>
    </row>
    <row r="67" spans="1:11" ht="15.75">
      <c r="A67" s="36" t="s">
        <v>12</v>
      </c>
      <c r="B67" s="39">
        <f>_xlfn.XLOOKUP(Log_Art12329[[#This Row],[Machine ]], PriceTable[Machine], PriceTable[$/Unit], "")</f>
        <v>0</v>
      </c>
      <c r="C67" s="25"/>
      <c r="D67" s="38" t="str">
        <f>IF(OR(Log_Art12329[[#This Row],[Machine ]]="", Log_Art12329[[#This Row],[Unit Amount]]=""), "", IFERROR(MAX(Log_Art12329[[#This Row],[Unit Amount]] * Log_Art12329[[#This Row],[$/Unit]], 3), ""))</f>
        <v/>
      </c>
      <c r="E67" s="23"/>
      <c r="F67" s="24"/>
      <c r="G67" s="25"/>
      <c r="H67" s="26"/>
      <c r="I67" s="24"/>
      <c r="J67" s="24"/>
      <c r="K67" s="24"/>
    </row>
    <row r="68" spans="1:11" ht="15.75">
      <c r="A68" s="36" t="s">
        <v>12</v>
      </c>
      <c r="B68" s="39">
        <f>_xlfn.XLOOKUP(Log_Art12329[[#This Row],[Machine ]], PriceTable[Machine], PriceTable[$/Unit], "")</f>
        <v>0</v>
      </c>
      <c r="C68" s="29"/>
      <c r="D68" s="38" t="str">
        <f>IF(OR(Log_Art12329[[#This Row],[Machine ]]="", Log_Art12329[[#This Row],[Unit Amount]]=""), "", IFERROR(MAX(Log_Art12329[[#This Row],[Unit Amount]] * Log_Art12329[[#This Row],[$/Unit]], 3), ""))</f>
        <v/>
      </c>
      <c r="E68" s="27"/>
      <c r="F68" s="28"/>
      <c r="G68" s="29"/>
      <c r="H68" s="30"/>
      <c r="I68" s="28"/>
      <c r="J68" s="24"/>
      <c r="K68" s="28"/>
    </row>
    <row r="69" spans="1:11" ht="15.75">
      <c r="A69" s="36" t="s">
        <v>12</v>
      </c>
      <c r="B69" s="39">
        <f>_xlfn.XLOOKUP(Log_Art12329[[#This Row],[Machine ]], PriceTable[Machine], PriceTable[$/Unit], "")</f>
        <v>0</v>
      </c>
      <c r="C69" s="25"/>
      <c r="D69" s="38" t="str">
        <f>IF(OR(Log_Art12329[[#This Row],[Machine ]]="", Log_Art12329[[#This Row],[Unit Amount]]=""), "", IFERROR(MAX(Log_Art12329[[#This Row],[Unit Amount]] * Log_Art12329[[#This Row],[$/Unit]], 3), ""))</f>
        <v/>
      </c>
      <c r="E69" s="23"/>
      <c r="F69" s="24"/>
      <c r="G69" s="25"/>
      <c r="H69" s="26"/>
      <c r="I69" s="24"/>
      <c r="J69" s="24"/>
      <c r="K69" s="24"/>
    </row>
    <row r="70" spans="1:11" ht="15.75">
      <c r="A70" s="36" t="s">
        <v>12</v>
      </c>
      <c r="B70" s="39">
        <f>_xlfn.XLOOKUP(Log_Art12329[[#This Row],[Machine ]], PriceTable[Machine], PriceTable[$/Unit], "")</f>
        <v>0</v>
      </c>
      <c r="C70" s="29"/>
      <c r="D70" s="38" t="str">
        <f>IF(OR(Log_Art12329[[#This Row],[Machine ]]="", Log_Art12329[[#This Row],[Unit Amount]]=""), "", IFERROR(MAX(Log_Art12329[[#This Row],[Unit Amount]] * Log_Art12329[[#This Row],[$/Unit]], 3), ""))</f>
        <v/>
      </c>
      <c r="E70" s="27"/>
      <c r="F70" s="28"/>
      <c r="G70" s="29"/>
      <c r="H70" s="30"/>
      <c r="I70" s="28"/>
      <c r="J70" s="24"/>
      <c r="K70" s="28"/>
    </row>
    <row r="71" spans="1:11" ht="15.75">
      <c r="A71" s="36" t="s">
        <v>12</v>
      </c>
      <c r="B71" s="39">
        <f>_xlfn.XLOOKUP(Log_Art12329[[#This Row],[Machine ]], PriceTable[Machine], PriceTable[$/Unit], "")</f>
        <v>0</v>
      </c>
      <c r="C71" s="25"/>
      <c r="D71" s="38" t="str">
        <f>IF(OR(Log_Art12329[[#This Row],[Machine ]]="", Log_Art12329[[#This Row],[Unit Amount]]=""), "", IFERROR(MAX(Log_Art12329[[#This Row],[Unit Amount]] * Log_Art12329[[#This Row],[$/Unit]], 3), ""))</f>
        <v/>
      </c>
      <c r="E71" s="23"/>
      <c r="F71" s="24"/>
      <c r="G71" s="25"/>
      <c r="H71" s="26"/>
      <c r="I71" s="24"/>
      <c r="J71" s="24"/>
      <c r="K71" s="24"/>
    </row>
    <row r="72" spans="1:11" ht="15.75">
      <c r="A72" s="36" t="s">
        <v>12</v>
      </c>
      <c r="B72" s="39">
        <f>_xlfn.XLOOKUP(Log_Art12329[[#This Row],[Machine ]], PriceTable[Machine], PriceTable[$/Unit], "")</f>
        <v>0</v>
      </c>
      <c r="C72" s="29"/>
      <c r="D72" s="38" t="str">
        <f>IF(OR(Log_Art12329[[#This Row],[Machine ]]="", Log_Art12329[[#This Row],[Unit Amount]]=""), "", IFERROR(MAX(Log_Art12329[[#This Row],[Unit Amount]] * Log_Art12329[[#This Row],[$/Unit]], 3), ""))</f>
        <v/>
      </c>
      <c r="E72" s="27"/>
      <c r="F72" s="28"/>
      <c r="G72" s="29"/>
      <c r="H72" s="30"/>
      <c r="I72" s="28"/>
      <c r="J72" s="24"/>
      <c r="K72" s="28"/>
    </row>
    <row r="73" spans="1:11" ht="15.75">
      <c r="A73" s="36" t="s">
        <v>12</v>
      </c>
      <c r="B73" s="39">
        <f>_xlfn.XLOOKUP(Log_Art12329[[#This Row],[Machine ]], PriceTable[Machine], PriceTable[$/Unit], "")</f>
        <v>0</v>
      </c>
      <c r="C73" s="25"/>
      <c r="D73" s="38" t="str">
        <f>IF(OR(Log_Art12329[[#This Row],[Machine ]]="", Log_Art12329[[#This Row],[Unit Amount]]=""), "", IFERROR(MAX(Log_Art12329[[#This Row],[Unit Amount]] * Log_Art12329[[#This Row],[$/Unit]], 3), ""))</f>
        <v/>
      </c>
      <c r="E73" s="23"/>
      <c r="F73" s="24"/>
      <c r="G73" s="25"/>
      <c r="H73" s="26"/>
      <c r="I73" s="24"/>
      <c r="J73" s="24"/>
      <c r="K73" s="24"/>
    </row>
    <row r="74" spans="1:11" ht="15.75">
      <c r="A74" s="36" t="s">
        <v>12</v>
      </c>
      <c r="B74" s="39">
        <f>_xlfn.XLOOKUP(Log_Art12329[[#This Row],[Machine ]], PriceTable[Machine], PriceTable[$/Unit], "")</f>
        <v>0</v>
      </c>
      <c r="C74" s="29"/>
      <c r="D74" s="38" t="str">
        <f>IF(OR(Log_Art12329[[#This Row],[Machine ]]="", Log_Art12329[[#This Row],[Unit Amount]]=""), "", IFERROR(MAX(Log_Art12329[[#This Row],[Unit Amount]] * Log_Art12329[[#This Row],[$/Unit]], 3), ""))</f>
        <v/>
      </c>
      <c r="E74" s="27"/>
      <c r="F74" s="28"/>
      <c r="G74" s="29"/>
      <c r="H74" s="30"/>
      <c r="I74" s="28"/>
      <c r="J74" s="24"/>
      <c r="K74" s="28"/>
    </row>
    <row r="75" spans="1:11" ht="15.75">
      <c r="A75" s="36" t="s">
        <v>12</v>
      </c>
      <c r="B75" s="39">
        <f>_xlfn.XLOOKUP(Log_Art12329[[#This Row],[Machine ]], PriceTable[Machine], PriceTable[$/Unit], "")</f>
        <v>0</v>
      </c>
      <c r="C75" s="25"/>
      <c r="D75" s="38" t="str">
        <f>IF(OR(Log_Art12329[[#This Row],[Machine ]]="", Log_Art12329[[#This Row],[Unit Amount]]=""), "", IFERROR(MAX(Log_Art12329[[#This Row],[Unit Amount]] * Log_Art12329[[#This Row],[$/Unit]], 3), ""))</f>
        <v/>
      </c>
      <c r="E75" s="23"/>
      <c r="F75" s="24"/>
      <c r="G75" s="25"/>
      <c r="H75" s="26"/>
      <c r="I75" s="24"/>
      <c r="J75" s="24"/>
      <c r="K75" s="24"/>
    </row>
    <row r="76" spans="1:11" ht="15.75">
      <c r="A76" s="36" t="s">
        <v>12</v>
      </c>
      <c r="B76" s="39">
        <f>_xlfn.XLOOKUP(Log_Art12329[[#This Row],[Machine ]], PriceTable[Machine], PriceTable[$/Unit], "")</f>
        <v>0</v>
      </c>
      <c r="C76" s="29"/>
      <c r="D76" s="38" t="str">
        <f>IF(OR(Log_Art12329[[#This Row],[Machine ]]="", Log_Art12329[[#This Row],[Unit Amount]]=""), "", IFERROR(MAX(Log_Art12329[[#This Row],[Unit Amount]] * Log_Art12329[[#This Row],[$/Unit]], 3), ""))</f>
        <v/>
      </c>
      <c r="E76" s="27"/>
      <c r="F76" s="28"/>
      <c r="G76" s="29"/>
      <c r="H76" s="30"/>
      <c r="I76" s="28"/>
      <c r="J76" s="24"/>
      <c r="K76" s="28"/>
    </row>
    <row r="77" spans="1:11" ht="15.75">
      <c r="A77" s="36" t="s">
        <v>12</v>
      </c>
      <c r="B77" s="39">
        <f>_xlfn.XLOOKUP(Log_Art12329[[#This Row],[Machine ]], PriceTable[Machine], PriceTable[$/Unit], "")</f>
        <v>0</v>
      </c>
      <c r="C77" s="25"/>
      <c r="D77" s="38" t="str">
        <f>IF(OR(Log_Art12329[[#This Row],[Machine ]]="", Log_Art12329[[#This Row],[Unit Amount]]=""), "", IFERROR(MAX(Log_Art12329[[#This Row],[Unit Amount]] * Log_Art12329[[#This Row],[$/Unit]], 3), ""))</f>
        <v/>
      </c>
      <c r="E77" s="23"/>
      <c r="F77" s="24"/>
      <c r="G77" s="25"/>
      <c r="H77" s="26"/>
      <c r="I77" s="24"/>
      <c r="J77" s="24"/>
      <c r="K77" s="24"/>
    </row>
    <row r="78" spans="1:11" ht="15.75">
      <c r="A78" s="36" t="s">
        <v>12</v>
      </c>
      <c r="B78" s="39">
        <f>_xlfn.XLOOKUP(Log_Art12329[[#This Row],[Machine ]], PriceTable[Machine], PriceTable[$/Unit], "")</f>
        <v>0</v>
      </c>
      <c r="C78" s="29"/>
      <c r="D78" s="38" t="str">
        <f>IF(OR(Log_Art12329[[#This Row],[Machine ]]="", Log_Art12329[[#This Row],[Unit Amount]]=""), "", IFERROR(MAX(Log_Art12329[[#This Row],[Unit Amount]] * Log_Art12329[[#This Row],[$/Unit]], 3), ""))</f>
        <v/>
      </c>
      <c r="E78" s="27"/>
      <c r="F78" s="28"/>
      <c r="G78" s="29"/>
      <c r="H78" s="30"/>
      <c r="I78" s="28"/>
      <c r="J78" s="24"/>
      <c r="K78" s="28"/>
    </row>
    <row r="79" spans="1:11" ht="15.75">
      <c r="A79" s="36" t="s">
        <v>12</v>
      </c>
      <c r="B79" s="39">
        <f>_xlfn.XLOOKUP(Log_Art12329[[#This Row],[Machine ]], PriceTable[Machine], PriceTable[$/Unit], "")</f>
        <v>0</v>
      </c>
      <c r="C79" s="25"/>
      <c r="D79" s="38" t="str">
        <f>IF(OR(Log_Art12329[[#This Row],[Machine ]]="", Log_Art12329[[#This Row],[Unit Amount]]=""), "", IFERROR(MAX(Log_Art12329[[#This Row],[Unit Amount]] * Log_Art12329[[#This Row],[$/Unit]], 3), ""))</f>
        <v/>
      </c>
      <c r="E79" s="23"/>
      <c r="F79" s="24"/>
      <c r="G79" s="25"/>
      <c r="H79" s="26"/>
      <c r="I79" s="24"/>
      <c r="J79" s="24"/>
      <c r="K79" s="24"/>
    </row>
    <row r="80" spans="1:11" ht="15.75">
      <c r="A80" s="36" t="s">
        <v>12</v>
      </c>
      <c r="B80" s="39">
        <f>_xlfn.XLOOKUP(Log_Art12329[[#This Row],[Machine ]], PriceTable[Machine], PriceTable[$/Unit], "")</f>
        <v>0</v>
      </c>
      <c r="C80" s="29"/>
      <c r="D80" s="38" t="str">
        <f>IF(OR(Log_Art12329[[#This Row],[Machine ]]="", Log_Art12329[[#This Row],[Unit Amount]]=""), "", IFERROR(MAX(Log_Art12329[[#This Row],[Unit Amount]] * Log_Art12329[[#This Row],[$/Unit]], 3), ""))</f>
        <v/>
      </c>
      <c r="E80" s="27"/>
      <c r="F80" s="28"/>
      <c r="G80" s="29"/>
      <c r="H80" s="30"/>
      <c r="I80" s="28"/>
      <c r="J80" s="24"/>
      <c r="K80" s="28"/>
    </row>
    <row r="81" spans="1:11" ht="15.75">
      <c r="A81" s="36" t="s">
        <v>12</v>
      </c>
      <c r="B81" s="39">
        <f>_xlfn.XLOOKUP(Log_Art12329[[#This Row],[Machine ]], PriceTable[Machine], PriceTable[$/Unit], "")</f>
        <v>0</v>
      </c>
      <c r="C81" s="25"/>
      <c r="D81" s="38" t="str">
        <f>IF(OR(Log_Art12329[[#This Row],[Machine ]]="", Log_Art12329[[#This Row],[Unit Amount]]=""), "", IFERROR(MAX(Log_Art12329[[#This Row],[Unit Amount]] * Log_Art12329[[#This Row],[$/Unit]], 3), ""))</f>
        <v/>
      </c>
      <c r="E81" s="23"/>
      <c r="F81" s="24"/>
      <c r="G81" s="25"/>
      <c r="H81" s="26"/>
      <c r="I81" s="24"/>
      <c r="J81" s="24"/>
      <c r="K81" s="24"/>
    </row>
    <row r="82" spans="1:11" ht="15.75">
      <c r="A82" s="36" t="s">
        <v>12</v>
      </c>
      <c r="B82" s="39">
        <f>_xlfn.XLOOKUP(Log_Art12329[[#This Row],[Machine ]], PriceTable[Machine], PriceTable[$/Unit], "")</f>
        <v>0</v>
      </c>
      <c r="C82" s="29"/>
      <c r="D82" s="38" t="str">
        <f>IF(OR(Log_Art12329[[#This Row],[Machine ]]="", Log_Art12329[[#This Row],[Unit Amount]]=""), "", IFERROR(MAX(Log_Art12329[[#This Row],[Unit Amount]] * Log_Art12329[[#This Row],[$/Unit]], 3), ""))</f>
        <v/>
      </c>
      <c r="E82" s="27"/>
      <c r="F82" s="28"/>
      <c r="G82" s="29"/>
      <c r="H82" s="30"/>
      <c r="I82" s="28"/>
      <c r="J82" s="24"/>
      <c r="K82" s="28"/>
    </row>
    <row r="83" spans="1:11" ht="15.75">
      <c r="A83" s="36" t="s">
        <v>12</v>
      </c>
      <c r="B83" s="39">
        <f>_xlfn.XLOOKUP(Log_Art12329[[#This Row],[Machine ]], PriceTable[Machine], PriceTable[$/Unit], "")</f>
        <v>0</v>
      </c>
      <c r="C83" s="25"/>
      <c r="D83" s="38" t="str">
        <f>IF(OR(Log_Art12329[[#This Row],[Machine ]]="", Log_Art12329[[#This Row],[Unit Amount]]=""), "", IFERROR(MAX(Log_Art12329[[#This Row],[Unit Amount]] * Log_Art12329[[#This Row],[$/Unit]], 3), ""))</f>
        <v/>
      </c>
      <c r="E83" s="23"/>
      <c r="F83" s="24"/>
      <c r="G83" s="25"/>
      <c r="H83" s="26"/>
      <c r="I83" s="24"/>
      <c r="J83" s="24"/>
      <c r="K83" s="24"/>
    </row>
    <row r="84" spans="1:11" ht="15.75">
      <c r="A84" s="36" t="s">
        <v>13</v>
      </c>
      <c r="B84" s="40"/>
      <c r="C84" s="25"/>
      <c r="D84" s="41"/>
      <c r="E84" s="23"/>
      <c r="F84" s="24"/>
      <c r="G84" s="25"/>
      <c r="H84" s="25"/>
      <c r="I84" s="24"/>
      <c r="J84" s="24"/>
      <c r="K84" s="56">
        <f>SUBTOTAL(109,Log_Art12329[Cost])</f>
        <v>0</v>
      </c>
    </row>
  </sheetData>
  <sheetProtection sheet="1" objects="1" scenarios="1"/>
  <protectedRanges>
    <protectedRange sqref="A3:K51" name="Range1_48_48_48_48_48_1"/>
    <protectedRange sqref="B83:I83 C80:C82 B61:B82 E80:I82 D61:D82 K80:K83" name="Range1_48_48_48_48_48_1_71_3"/>
    <protectedRange sqref="C61:C79 E61:I79 J61:K61 K62:K79 J62:J83" name="Range1_48_48_48_48_48_1_1"/>
    <protectedRange sqref="A61:A83" name="Range2_23_23_23_23_23_23_23_23_23_23_23_23_20_19"/>
  </protectedRanges>
  <mergeCells count="2">
    <mergeCell ref="A1:K1"/>
    <mergeCell ref="A59:K59"/>
  </mergeCells>
  <conditionalFormatting sqref="A1 H61:K83">
    <cfRule type="containsText" dxfId="274" priority="12" operator="containsText" text="Select Machine">
      <formula>NOT(ISERROR(SEARCH("Select Machine",A1)))</formula>
    </cfRule>
  </conditionalFormatting>
  <conditionalFormatting sqref="A3:A51 C3:C51 E3:F51">
    <cfRule type="containsText" dxfId="273" priority="7" operator="containsText" text="Select Machine">
      <formula>NOT(ISERROR(SEARCH("Select Machine",A3)))</formula>
    </cfRule>
  </conditionalFormatting>
  <conditionalFormatting sqref="A3:A51 G3:G51">
    <cfRule type="cellIs" dxfId="272" priority="8" operator="equal">
      <formula>"Select Machine"</formula>
    </cfRule>
  </conditionalFormatting>
  <conditionalFormatting sqref="A61:A83">
    <cfRule type="containsText" dxfId="271" priority="4" operator="containsText" text="Select Machine">
      <formula>NOT(ISERROR(SEARCH("Select Machine",A61)))</formula>
    </cfRule>
    <cfRule type="cellIs" dxfId="270" priority="5" operator="equal">
      <formula>"Select Machine"</formula>
    </cfRule>
  </conditionalFormatting>
  <conditionalFormatting sqref="C61:C83 E61:F83">
    <cfRule type="containsText" dxfId="269" priority="1" operator="containsText" text="Select Machine">
      <formula>NOT(ISERROR(SEARCH("Select Machine",C61)))</formula>
    </cfRule>
  </conditionalFormatting>
  <conditionalFormatting sqref="G3:G51">
    <cfRule type="containsText" dxfId="268" priority="9" operator="containsText" text="Select Machine">
      <formula>NOT(ISERROR(SEARCH("Select Machine",G3)))</formula>
    </cfRule>
  </conditionalFormatting>
  <conditionalFormatting sqref="G61:G83">
    <cfRule type="cellIs" dxfId="267" priority="2" operator="equal">
      <formula>"Select Machine"</formula>
    </cfRule>
    <cfRule type="containsText" dxfId="266" priority="3" operator="containsText" text="Select Machine">
      <formula>NOT(ISERROR(SEARCH("Select Machine",G61)))</formula>
    </cfRule>
  </conditionalFormatting>
  <conditionalFormatting sqref="H3:K51">
    <cfRule type="containsText" dxfId="265" priority="6" operator="containsText" text="Select Machine">
      <formula>NOT(ISERROR(SEARCH("Select Machine",H3)))</formula>
    </cfRule>
  </conditionalFormatting>
  <conditionalFormatting sqref="K85:K86 A86:J86 A87:K1048576">
    <cfRule type="containsText" dxfId="264" priority="10" operator="containsText" text="Select Machine">
      <formula>NOT(ISERROR(SEARCH("Select Machine",A85)))</formula>
    </cfRule>
  </conditionalFormatting>
  <conditionalFormatting sqref="A2:K2 A54:K58 A59 A60:K60 L1:XFD1048576">
    <cfRule type="containsText" dxfId="263" priority="11" operator="containsText" text="Select Machine">
      <formula>NOT(ISERROR(SEARCH("Select Machine",A1)))</formula>
    </cfRule>
  </conditionalFormatting>
  <conditionalFormatting sqref="L59:XFD59">
    <cfRule type="cellIs" dxfId="262" priority="13" operator="equal">
      <formula>"Select Machine"</formula>
    </cfRule>
  </conditionalFormatting>
  <dataValidations count="9">
    <dataValidation type="list" allowBlank="1" showInputMessage="1" showErrorMessage="1" sqref="J3:J51 J61:J83" xr:uid="{D9EB4FAF-BC81-4916-A213-EE55A7E41E3D}">
      <formula1>Staff</formula1>
    </dataValidation>
    <dataValidation type="list" allowBlank="1" showInputMessage="1" showErrorMessage="1" sqref="A61:A83 A2:A51" xr:uid="{41AE0358-E608-4665-B3CE-F7BA883B7566}">
      <formula1>MachineList</formula1>
    </dataValidation>
    <dataValidation type="list" allowBlank="1" showInputMessage="1" showErrorMessage="1" sqref="K62" xr:uid="{C0EFB5B7-4545-446A-847F-9F3C92C5699F}">
      <formula1>"Conrad,Caroline,Calcea,Cooper,Quinton,Kiran,Lacie,Mahi,Rohan,Jacob,Madison"</formula1>
    </dataValidation>
    <dataValidation allowBlank="1" showInputMessage="1" showErrorMessage="1" sqref="F86:F1048576 F1:F2 F54:F60" xr:uid="{7585BB91-A5F7-4B58-A4E2-F73E227CCE21}"/>
    <dataValidation type="list" allowBlank="1" showInputMessage="1" showErrorMessage="1" sqref="J54" xr:uid="{BF704B78-76D6-41C6-B4F5-B579527D5807}">
      <formula1>"Conrad,Spencer,Kiran,Jack Wayne,Morgan"</formula1>
    </dataValidation>
    <dataValidation type="list" allowBlank="1" showInputMessage="1" showErrorMessage="1" sqref="A54 A86" xr:uid="{AFFDFE56-8D0F-4DCF-A344-CB30BB0F1D05}">
      <formula1>"Prusa,Ultimaker S5,Ultimaker 2+,Raise3D Pro 2 Plus,Markforged Onyx,Form 2, Form 2 Specialty,Plasma,Forest CNC"</formula1>
    </dataValidation>
    <dataValidation type="list" allowBlank="1" showInputMessage="1" showErrorMessage="1" sqref="A60" xr:uid="{6CF0B467-167E-4A7C-BCA8-E2C3225922DD}">
      <formula1>"Prusa,Raise3D Pro 2 Plus,Ultimaker S5,Ultimaker 2+,Markforged Onyx,Form 2,Form 2 Specialty"</formula1>
    </dataValidation>
    <dataValidation type="list" allowBlank="1" showInputMessage="1" showErrorMessage="1" sqref="K54 K61:K83 K3:K51" xr:uid="{517AE834-3148-44C6-99AC-A459F23862F9}">
      <formula1>"Open,Closed"</formula1>
    </dataValidation>
    <dataValidation type="whole" allowBlank="1" showInputMessage="1" showErrorMessage="1" sqref="F61:F83 I3:I51 I54 I61:I83 I86 F3:F51" xr:uid="{6059820C-5C17-4FD2-8C6F-57BD3C22CB49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39F7-2A7D-4DAB-B2AA-5C3E2A02AD93}">
  <dimension ref="A1:K83"/>
  <sheetViews>
    <sheetView zoomScaleNormal="100" workbookViewId="0">
      <selection activeCell="N59" sqref="N59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12</v>
      </c>
      <c r="B3" s="37">
        <f>_xlfn.XLOOKUP(Log_Atkinson14534[[#This Row],[Machine ]], PriceTable[Machine], PriceTable[$/Unit], "")</f>
        <v>0</v>
      </c>
      <c r="C3" s="25"/>
      <c r="D3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" s="23"/>
      <c r="F3" s="24"/>
      <c r="G3" s="25"/>
      <c r="H3" s="26"/>
      <c r="I3" s="24"/>
      <c r="J3" s="24"/>
      <c r="K3" s="24"/>
    </row>
    <row r="4" spans="1:11" ht="15.75">
      <c r="A4" s="36" t="s">
        <v>12</v>
      </c>
      <c r="B4" s="37">
        <f>_xlfn.XLOOKUP(Log_Atkinson14534[[#This Row],[Machine ]], PriceTable[Machine], PriceTable[$/Unit], "")</f>
        <v>0</v>
      </c>
      <c r="C4" s="29"/>
      <c r="D4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" s="27"/>
      <c r="F4" s="28"/>
      <c r="G4" s="29"/>
      <c r="H4" s="30"/>
      <c r="I4" s="28"/>
      <c r="J4" s="24"/>
      <c r="K4" s="28"/>
    </row>
    <row r="5" spans="1:11" ht="15.75">
      <c r="A5" s="36" t="s">
        <v>12</v>
      </c>
      <c r="B5" s="39">
        <f>_xlfn.XLOOKUP(Log_Atkinson14534[[#This Row],[Machine ]], PriceTable[Machine], PriceTable[$/Unit], "")</f>
        <v>0</v>
      </c>
      <c r="C5" s="25"/>
      <c r="D5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5" s="23"/>
      <c r="F5" s="24"/>
      <c r="G5" s="25"/>
      <c r="H5" s="26"/>
      <c r="I5" s="24"/>
      <c r="J5" s="24"/>
      <c r="K5" s="24"/>
    </row>
    <row r="6" spans="1:11" ht="15.75">
      <c r="A6" s="36" t="s">
        <v>12</v>
      </c>
      <c r="B6" s="37">
        <f>_xlfn.XLOOKUP(Log_Atkinson14534[[#This Row],[Machine ]], PriceTable[Machine], PriceTable[$/Unit], "")</f>
        <v>0</v>
      </c>
      <c r="C6" s="29"/>
      <c r="D6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6" s="27"/>
      <c r="F6" s="28"/>
      <c r="G6" s="29"/>
      <c r="H6" s="30"/>
      <c r="I6" s="28"/>
      <c r="J6" s="24"/>
      <c r="K6" s="28"/>
    </row>
    <row r="7" spans="1:11" ht="15.75">
      <c r="A7" s="36" t="s">
        <v>12</v>
      </c>
      <c r="B7" s="39">
        <f>_xlfn.XLOOKUP(Log_Atkinson14534[[#This Row],[Machine ]], PriceTable[Machine], PriceTable[$/Unit], "")</f>
        <v>0</v>
      </c>
      <c r="C7" s="25"/>
      <c r="D7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7" s="23"/>
      <c r="F7" s="24"/>
      <c r="G7" s="25"/>
      <c r="H7" s="26"/>
      <c r="I7" s="24"/>
      <c r="J7" s="24"/>
      <c r="K7" s="24"/>
    </row>
    <row r="8" spans="1:11" ht="15.75">
      <c r="A8" s="36" t="s">
        <v>12</v>
      </c>
      <c r="B8" s="37">
        <f>_xlfn.XLOOKUP(Log_Atkinson14534[[#This Row],[Machine ]], PriceTable[Machine], PriceTable[$/Unit], "")</f>
        <v>0</v>
      </c>
      <c r="C8" s="29"/>
      <c r="D8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8" s="27"/>
      <c r="F8" s="28"/>
      <c r="G8" s="29"/>
      <c r="H8" s="30"/>
      <c r="I8" s="28"/>
      <c r="J8" s="24"/>
      <c r="K8" s="28"/>
    </row>
    <row r="9" spans="1:11" ht="15.75">
      <c r="A9" s="36" t="s">
        <v>12</v>
      </c>
      <c r="B9" s="39">
        <f>_xlfn.XLOOKUP(Log_Atkinson14534[[#This Row],[Machine ]], PriceTable[Machine], PriceTable[$/Unit], "")</f>
        <v>0</v>
      </c>
      <c r="C9" s="25"/>
      <c r="D9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9" s="23"/>
      <c r="F9" s="24"/>
      <c r="G9" s="25"/>
      <c r="H9" s="26"/>
      <c r="I9" s="24"/>
      <c r="J9" s="24"/>
      <c r="K9" s="24"/>
    </row>
    <row r="10" spans="1:11" ht="15.75">
      <c r="A10" s="36" t="s">
        <v>12</v>
      </c>
      <c r="B10" s="37">
        <f>_xlfn.XLOOKUP(Log_Atkinson14534[[#This Row],[Machine ]], PriceTable[Machine], PriceTable[$/Unit], "")</f>
        <v>0</v>
      </c>
      <c r="C10" s="29"/>
      <c r="D10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0" s="27"/>
      <c r="F10" s="28"/>
      <c r="G10" s="29"/>
      <c r="H10" s="30"/>
      <c r="I10" s="28"/>
      <c r="J10" s="24"/>
      <c r="K10" s="28"/>
    </row>
    <row r="11" spans="1:11" ht="15.75">
      <c r="A11" s="36" t="s">
        <v>12</v>
      </c>
      <c r="B11" s="39">
        <f>_xlfn.XLOOKUP(Log_Atkinson14534[[#This Row],[Machine ]], PriceTable[Machine], PriceTable[$/Unit], "")</f>
        <v>0</v>
      </c>
      <c r="C11" s="25"/>
      <c r="D11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1" s="23"/>
      <c r="F11" s="24"/>
      <c r="G11" s="25"/>
      <c r="H11" s="26"/>
      <c r="I11" s="24"/>
      <c r="J11" s="24"/>
      <c r="K11" s="24"/>
    </row>
    <row r="12" spans="1:11" ht="15.75">
      <c r="A12" s="36" t="s">
        <v>12</v>
      </c>
      <c r="B12" s="37">
        <f>_xlfn.XLOOKUP(Log_Atkinson14534[[#This Row],[Machine ]], PriceTable[Machine], PriceTable[$/Unit], "")</f>
        <v>0</v>
      </c>
      <c r="C12" s="29"/>
      <c r="D12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2" s="27"/>
      <c r="F12" s="28"/>
      <c r="G12" s="29"/>
      <c r="H12" s="30"/>
      <c r="I12" s="28"/>
      <c r="J12" s="24"/>
      <c r="K12" s="28"/>
    </row>
    <row r="13" spans="1:11" ht="15.75">
      <c r="A13" s="36" t="s">
        <v>12</v>
      </c>
      <c r="B13" s="39">
        <f>_xlfn.XLOOKUP(Log_Atkinson14534[[#This Row],[Machine ]], PriceTable[Machine], PriceTable[$/Unit], "")</f>
        <v>0</v>
      </c>
      <c r="C13" s="25"/>
      <c r="D13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3" s="23"/>
      <c r="F13" s="24"/>
      <c r="G13" s="25"/>
      <c r="H13" s="26"/>
      <c r="I13" s="24"/>
      <c r="J13" s="24"/>
      <c r="K13" s="24"/>
    </row>
    <row r="14" spans="1:11" ht="15.75">
      <c r="A14" s="36" t="s">
        <v>12</v>
      </c>
      <c r="B14" s="37">
        <f>_xlfn.XLOOKUP(Log_Atkinson14534[[#This Row],[Machine ]], PriceTable[Machine], PriceTable[$/Unit], "")</f>
        <v>0</v>
      </c>
      <c r="C14" s="29"/>
      <c r="D14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4" s="27"/>
      <c r="F14" s="28"/>
      <c r="G14" s="29"/>
      <c r="H14" s="30"/>
      <c r="I14" s="28"/>
      <c r="J14" s="24"/>
      <c r="K14" s="28"/>
    </row>
    <row r="15" spans="1:11" ht="15.75">
      <c r="A15" s="36" t="s">
        <v>12</v>
      </c>
      <c r="B15" s="39">
        <f>_xlfn.XLOOKUP(Log_Atkinson14534[[#This Row],[Machine ]], PriceTable[Machine], PriceTable[$/Unit], "")</f>
        <v>0</v>
      </c>
      <c r="C15" s="25"/>
      <c r="D15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5" s="23"/>
      <c r="F15" s="24"/>
      <c r="G15" s="25"/>
      <c r="H15" s="26"/>
      <c r="I15" s="24"/>
      <c r="J15" s="24"/>
      <c r="K15" s="24"/>
    </row>
    <row r="16" spans="1:11" ht="15.75">
      <c r="A16" s="36" t="s">
        <v>12</v>
      </c>
      <c r="B16" s="37">
        <f>_xlfn.XLOOKUP(Log_Atkinson14534[[#This Row],[Machine ]], PriceTable[Machine], PriceTable[$/Unit], "")</f>
        <v>0</v>
      </c>
      <c r="C16" s="29"/>
      <c r="D16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6" s="27"/>
      <c r="F16" s="28"/>
      <c r="G16" s="29"/>
      <c r="H16" s="30"/>
      <c r="I16" s="28"/>
      <c r="J16" s="24"/>
      <c r="K16" s="28"/>
    </row>
    <row r="17" spans="1:11" ht="15.75">
      <c r="A17" s="36" t="s">
        <v>12</v>
      </c>
      <c r="B17" s="39">
        <f>_xlfn.XLOOKUP(Log_Atkinson14534[[#This Row],[Machine ]], PriceTable[Machine], PriceTable[$/Unit], "")</f>
        <v>0</v>
      </c>
      <c r="C17" s="25"/>
      <c r="D17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7">
        <f>_xlfn.XLOOKUP(Log_Atkinson14534[[#This Row],[Machine ]], PriceTable[Machine], PriceTable[$/Unit], "")</f>
        <v>0</v>
      </c>
      <c r="C18" s="29"/>
      <c r="D18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8" s="27"/>
      <c r="F18" s="28"/>
      <c r="G18" s="29"/>
      <c r="H18" s="30"/>
      <c r="I18" s="28"/>
      <c r="J18" s="24"/>
      <c r="K18" s="28"/>
    </row>
    <row r="19" spans="1:11" ht="15.75">
      <c r="A19" s="36" t="s">
        <v>12</v>
      </c>
      <c r="B19" s="39">
        <f>_xlfn.XLOOKUP(Log_Atkinson14534[[#This Row],[Machine ]], PriceTable[Machine], PriceTable[$/Unit], "")</f>
        <v>0</v>
      </c>
      <c r="C19" s="25"/>
      <c r="D19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7">
        <f>_xlfn.XLOOKUP(Log_Atkinson14534[[#This Row],[Machine ]], PriceTable[Machine], PriceTable[$/Unit], "")</f>
        <v>0</v>
      </c>
      <c r="C20" s="29"/>
      <c r="D20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0" s="27"/>
      <c r="F20" s="28"/>
      <c r="G20" s="29"/>
      <c r="H20" s="30"/>
      <c r="I20" s="28"/>
      <c r="J20" s="24"/>
      <c r="K20" s="28"/>
    </row>
    <row r="21" spans="1:11" ht="15.75">
      <c r="A21" s="36" t="s">
        <v>12</v>
      </c>
      <c r="B21" s="39">
        <f>_xlfn.XLOOKUP(Log_Atkinson14534[[#This Row],[Machine ]], PriceTable[Machine], PriceTable[$/Unit], "")</f>
        <v>0</v>
      </c>
      <c r="C21" s="25"/>
      <c r="D21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_xlfn.XLOOKUP(Log_Atkinson14534[[#This Row],[Machine ]], PriceTable[Machine], PriceTable[$/Unit], "")</f>
        <v>0</v>
      </c>
      <c r="C22" s="29"/>
      <c r="D22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2" s="27"/>
      <c r="F22" s="28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_xlfn.XLOOKUP(Log_Atkinson14534[[#This Row],[Machine ]], PriceTable[Machine], PriceTable[$/Unit], "")</f>
        <v>0</v>
      </c>
      <c r="C23" s="25"/>
      <c r="D23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_xlfn.XLOOKUP(Log_Atkinson14534[[#This Row],[Machine ]], PriceTable[Machine], PriceTable[$/Unit], "")</f>
        <v>0</v>
      </c>
      <c r="C24" s="29"/>
      <c r="D24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4" s="27"/>
      <c r="F24" s="28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_xlfn.XLOOKUP(Log_Atkinson14534[[#This Row],[Machine ]], PriceTable[Machine], PriceTable[$/Unit], "")</f>
        <v>0</v>
      </c>
      <c r="C25" s="25"/>
      <c r="D25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_xlfn.XLOOKUP(Log_Atkinson14534[[#This Row],[Machine ]], PriceTable[Machine], PriceTable[$/Unit], "")</f>
        <v>0</v>
      </c>
      <c r="C26" s="29"/>
      <c r="D26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6" s="27"/>
      <c r="F26" s="28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_xlfn.XLOOKUP(Log_Atkinson14534[[#This Row],[Machine ]], PriceTable[Machine], PriceTable[$/Unit], "")</f>
        <v>0</v>
      </c>
      <c r="C27" s="25"/>
      <c r="D27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_xlfn.XLOOKUP(Log_Atkinson14534[[#This Row],[Machine ]], PriceTable[Machine], PriceTable[$/Unit], "")</f>
        <v>0</v>
      </c>
      <c r="C28" s="29"/>
      <c r="D28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8" s="27"/>
      <c r="F28" s="28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_xlfn.XLOOKUP(Log_Atkinson14534[[#This Row],[Machine ]], PriceTable[Machine], PriceTable[$/Unit], "")</f>
        <v>0</v>
      </c>
      <c r="C29" s="25"/>
      <c r="D29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_xlfn.XLOOKUP(Log_Atkinson14534[[#This Row],[Machine ]], PriceTable[Machine], PriceTable[$/Unit], "")</f>
        <v>0</v>
      </c>
      <c r="C30" s="29"/>
      <c r="D30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0" s="27"/>
      <c r="F30" s="28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_xlfn.XLOOKUP(Log_Atkinson14534[[#This Row],[Machine ]], PriceTable[Machine], PriceTable[$/Unit], "")</f>
        <v>0</v>
      </c>
      <c r="C31" s="25"/>
      <c r="D31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_xlfn.XLOOKUP(Log_Atkinson14534[[#This Row],[Machine ]], PriceTable[Machine], PriceTable[$/Unit], "")</f>
        <v>0</v>
      </c>
      <c r="C32" s="29"/>
      <c r="D32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2" s="27"/>
      <c r="F32" s="28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_xlfn.XLOOKUP(Log_Atkinson14534[[#This Row],[Machine ]], PriceTable[Machine], PriceTable[$/Unit], "")</f>
        <v>0</v>
      </c>
      <c r="C33" s="25"/>
      <c r="D33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_xlfn.XLOOKUP(Log_Atkinson14534[[#This Row],[Machine ]], PriceTable[Machine], PriceTable[$/Unit], "")</f>
        <v>0</v>
      </c>
      <c r="C34" s="29"/>
      <c r="D34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4" s="27"/>
      <c r="F34" s="28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_xlfn.XLOOKUP(Log_Atkinson14534[[#This Row],[Machine ]], PriceTable[Machine], PriceTable[$/Unit], "")</f>
        <v>0</v>
      </c>
      <c r="C35" s="25"/>
      <c r="D35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_xlfn.XLOOKUP(Log_Atkinson14534[[#This Row],[Machine ]], PriceTable[Machine], PriceTable[$/Unit], "")</f>
        <v>0</v>
      </c>
      <c r="C36" s="29"/>
      <c r="D36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6" s="27"/>
      <c r="F36" s="28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_xlfn.XLOOKUP(Log_Atkinson14534[[#This Row],[Machine ]], PriceTable[Machine], PriceTable[$/Unit], "")</f>
        <v>0</v>
      </c>
      <c r="C37" s="25"/>
      <c r="D37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_xlfn.XLOOKUP(Log_Atkinson14534[[#This Row],[Machine ]], PriceTable[Machine], PriceTable[$/Unit], "")</f>
        <v>0</v>
      </c>
      <c r="C38" s="29"/>
      <c r="D38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8" s="27"/>
      <c r="F38" s="28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_xlfn.XLOOKUP(Log_Atkinson14534[[#This Row],[Machine ]], PriceTable[Machine], PriceTable[$/Unit], "")</f>
        <v>0</v>
      </c>
      <c r="C39" s="25"/>
      <c r="D39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_xlfn.XLOOKUP(Log_Atkinson14534[[#This Row],[Machine ]], PriceTable[Machine], PriceTable[$/Unit], "")</f>
        <v>0</v>
      </c>
      <c r="C40" s="29"/>
      <c r="D40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0" s="27"/>
      <c r="F40" s="28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_xlfn.XLOOKUP(Log_Atkinson14534[[#This Row],[Machine ]], PriceTable[Machine], PriceTable[$/Unit], "")</f>
        <v>0</v>
      </c>
      <c r="C41" s="25"/>
      <c r="D41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_xlfn.XLOOKUP(Log_Atkinson14534[[#This Row],[Machine ]], PriceTable[Machine], PriceTable[$/Unit], "")</f>
        <v>0</v>
      </c>
      <c r="C42" s="29"/>
      <c r="D42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2" s="27"/>
      <c r="F42" s="28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_xlfn.XLOOKUP(Log_Atkinson14534[[#This Row],[Machine ]], PriceTable[Machine], PriceTable[$/Unit], "")</f>
        <v>0</v>
      </c>
      <c r="C43" s="25"/>
      <c r="D43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_xlfn.XLOOKUP(Log_Atkinson14534[[#This Row],[Machine ]], PriceTable[Machine], PriceTable[$/Unit], "")</f>
        <v>0</v>
      </c>
      <c r="C44" s="29"/>
      <c r="D44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4" s="27"/>
      <c r="F44" s="28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_xlfn.XLOOKUP(Log_Atkinson14534[[#This Row],[Machine ]], PriceTable[Machine], PriceTable[$/Unit], "")</f>
        <v>0</v>
      </c>
      <c r="C45" s="25"/>
      <c r="D45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_xlfn.XLOOKUP(Log_Atkinson14534[[#This Row],[Machine ]], PriceTable[Machine], PriceTable[$/Unit], "")</f>
        <v>0</v>
      </c>
      <c r="C46" s="29"/>
      <c r="D46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6" s="27"/>
      <c r="F46" s="28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_xlfn.XLOOKUP(Log_Atkinson14534[[#This Row],[Machine ]], PriceTable[Machine], PriceTable[$/Unit], "")</f>
        <v>0</v>
      </c>
      <c r="C47" s="25"/>
      <c r="D47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_xlfn.XLOOKUP(Log_Atkinson14534[[#This Row],[Machine ]], PriceTable[Machine], PriceTable[$/Unit], "")</f>
        <v>0</v>
      </c>
      <c r="C48" s="29"/>
      <c r="D48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8" s="27"/>
      <c r="F48" s="28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_xlfn.XLOOKUP(Log_Atkinson14534[[#This Row],[Machine ]], PriceTable[Machine], PriceTable[$/Unit], "")</f>
        <v>0</v>
      </c>
      <c r="C49" s="25"/>
      <c r="D49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_xlfn.XLOOKUP(Log_Atkinson14534[[#This Row],[Machine ]], PriceTable[Machine], PriceTable[$/Unit], "")</f>
        <v>0</v>
      </c>
      <c r="C50" s="25"/>
      <c r="D50" s="38" t="str">
        <f>IF(OR(Log_Atkinson14534[[#This Row],[Machine ]]="", Log_Atkinson14534[[#This Row],[Unit Amount]]=""), "", IFERROR(MAX(Log_Atkinson14534[[#This Row],[Unit Amount]] * Log_Atkinson14534[[#This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13</v>
      </c>
      <c r="B51" s="40"/>
      <c r="C51" s="25"/>
      <c r="D51" s="41"/>
      <c r="E51" s="23"/>
      <c r="F51" s="24"/>
      <c r="G51" s="25"/>
      <c r="H51" s="25"/>
      <c r="I51" s="24"/>
      <c r="J51" s="24"/>
      <c r="K51" s="57">
        <f>SUBTOTAL(109,Log_Atkinson14534[Cost])</f>
        <v>0</v>
      </c>
    </row>
    <row r="52" spans="1:11" ht="15.75">
      <c r="A52" s="42"/>
      <c r="B52" s="43"/>
      <c r="C52" s="44"/>
      <c r="D52" s="45"/>
      <c r="E52" s="46"/>
      <c r="F52" s="47"/>
      <c r="G52" s="44"/>
      <c r="H52" s="44"/>
      <c r="I52" s="47"/>
      <c r="J52" s="47"/>
      <c r="K52" s="47"/>
    </row>
    <row r="53" spans="1:11" ht="15.75">
      <c r="C53" s="48"/>
      <c r="E53" s="49"/>
      <c r="G53" s="49"/>
      <c r="H53" s="50"/>
    </row>
    <row r="54" spans="1:11" ht="15.75">
      <c r="C54" s="51"/>
    </row>
    <row r="55" spans="1:11" ht="15.75" customHeight="1"/>
    <row r="56" spans="1:11" ht="15.75"/>
    <row r="57" spans="1:11" ht="11.25" customHeight="1"/>
    <row r="58" spans="1:11" ht="24">
      <c r="A58" s="64" t="s">
        <v>14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>
      <c r="A59" s="52" t="s">
        <v>1</v>
      </c>
      <c r="B59" s="53" t="s">
        <v>2</v>
      </c>
      <c r="C59" s="53" t="s">
        <v>3</v>
      </c>
      <c r="D59" s="54" t="s">
        <v>4</v>
      </c>
      <c r="E59" s="55" t="s">
        <v>5</v>
      </c>
      <c r="F59" s="52" t="s">
        <v>6</v>
      </c>
      <c r="G59" s="55" t="s">
        <v>7</v>
      </c>
      <c r="H59" s="52" t="s">
        <v>15</v>
      </c>
      <c r="I59" s="52" t="s">
        <v>9</v>
      </c>
      <c r="J59" s="52" t="s">
        <v>10</v>
      </c>
      <c r="K59" s="52" t="s">
        <v>11</v>
      </c>
    </row>
    <row r="60" spans="1:11" ht="15.75">
      <c r="A60" s="36" t="s">
        <v>12</v>
      </c>
      <c r="B60" s="39">
        <f>_xlfn.XLOOKUP(Log_Art12335[[#This Row],[Machine ]], PriceTable[Machine], PriceTable[$/Unit], "")</f>
        <v>0</v>
      </c>
      <c r="C60" s="25"/>
      <c r="D60" s="38" t="str">
        <f>IF(OR(Log_Art12335[[#This Row],[Machine ]]="", Log_Art12335[[#This Row],[Unit Amount]]=""), "", IFERROR(MAX(Log_Art12335[[#This Row],[Unit Amount]] * Log_Art12335[[#This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_xlfn.XLOOKUP(Log_Art12335[[#This Row],[Machine ]], PriceTable[Machine], PriceTable[$/Unit], "")</f>
        <v>0</v>
      </c>
      <c r="C61" s="29"/>
      <c r="D61" s="38" t="str">
        <f>IF(OR(Log_Art12335[[#This Row],[Machine ]]="", Log_Art12335[[#This Row],[Unit Amount]]=""), "", IFERROR(MAX(Log_Art12335[[#This Row],[Unit Amount]] * Log_Art12335[[#This Row],[$/Unit]], 3), ""))</f>
        <v/>
      </c>
      <c r="E61" s="27"/>
      <c r="F61" s="28"/>
      <c r="G61" s="29"/>
      <c r="H61" s="30"/>
      <c r="I61" s="28"/>
      <c r="J61" s="24"/>
      <c r="K61" s="28"/>
    </row>
    <row r="62" spans="1:11" ht="15.75">
      <c r="A62" s="36" t="s">
        <v>12</v>
      </c>
      <c r="B62" s="39">
        <f>_xlfn.XLOOKUP(Log_Art12335[[#This Row],[Machine ]], PriceTable[Machine], PriceTable[$/Unit], "")</f>
        <v>0</v>
      </c>
      <c r="C62" s="25"/>
      <c r="D62" s="38" t="str">
        <f>IF(OR(Log_Art12335[[#This Row],[Machine ]]="", Log_Art12335[[#This Row],[Unit Amount]]=""), "", IFERROR(MAX(Log_Art12335[[#This Row],[Unit Amount]] * Log_Art12335[[#This Row],[$/Unit]], 3), ""))</f>
        <v/>
      </c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_xlfn.XLOOKUP(Log_Art12335[[#This Row],[Machine ]], PriceTable[Machine], PriceTable[$/Unit], "")</f>
        <v>0</v>
      </c>
      <c r="C63" s="29"/>
      <c r="D63" s="38" t="str">
        <f>IF(OR(Log_Art12335[[#This Row],[Machine ]]="", Log_Art12335[[#This Row],[Unit Amount]]=""), "", IFERROR(MAX(Log_Art12335[[#This Row],[Unit Amount]] * Log_Art12335[[#This Row],[$/Unit]], 3), ""))</f>
        <v/>
      </c>
      <c r="E63" s="27"/>
      <c r="F63" s="28"/>
      <c r="G63" s="29"/>
      <c r="H63" s="30"/>
      <c r="I63" s="28"/>
      <c r="J63" s="24"/>
      <c r="K63" s="28"/>
    </row>
    <row r="64" spans="1:11" ht="15.75">
      <c r="A64" s="36" t="s">
        <v>12</v>
      </c>
      <c r="B64" s="39">
        <f>_xlfn.XLOOKUP(Log_Art12335[[#This Row],[Machine ]], PriceTable[Machine], PriceTable[$/Unit], "")</f>
        <v>0</v>
      </c>
      <c r="C64" s="25"/>
      <c r="D64" s="38" t="str">
        <f>IF(OR(Log_Art12335[[#This Row],[Machine ]]="", Log_Art12335[[#This Row],[Unit Amount]]=""), "", IFERROR(MAX(Log_Art12335[[#This Row],[Unit Amount]] * Log_Art12335[[#This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_xlfn.XLOOKUP(Log_Art12335[[#This Row],[Machine ]], PriceTable[Machine], PriceTable[$/Unit], "")</f>
        <v>0</v>
      </c>
      <c r="C65" s="29"/>
      <c r="D65" s="38" t="str">
        <f>IF(OR(Log_Art12335[[#This Row],[Machine ]]="", Log_Art12335[[#This Row],[Unit Amount]]=""), "", IFERROR(MAX(Log_Art12335[[#This Row],[Unit Amount]] * Log_Art12335[[#This Row],[$/Unit]], 3), ""))</f>
        <v/>
      </c>
      <c r="E65" s="27"/>
      <c r="F65" s="28"/>
      <c r="G65" s="29"/>
      <c r="H65" s="30"/>
      <c r="I65" s="28"/>
      <c r="J65" s="24"/>
      <c r="K65" s="28"/>
    </row>
    <row r="66" spans="1:11" ht="15.75">
      <c r="A66" s="36" t="s">
        <v>12</v>
      </c>
      <c r="B66" s="39">
        <f>_xlfn.XLOOKUP(Log_Art12335[[#This Row],[Machine ]], PriceTable[Machine], PriceTable[$/Unit], "")</f>
        <v>0</v>
      </c>
      <c r="C66" s="25"/>
      <c r="D66" s="38" t="str">
        <f>IF(OR(Log_Art12335[[#This Row],[Machine ]]="", Log_Art12335[[#This Row],[Unit Amount]]=""), "", IFERROR(MAX(Log_Art12335[[#This Row],[Unit Amount]] * Log_Art12335[[#This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_xlfn.XLOOKUP(Log_Art12335[[#This Row],[Machine ]], PriceTable[Machine], PriceTable[$/Unit], "")</f>
        <v>0</v>
      </c>
      <c r="C67" s="29"/>
      <c r="D67" s="38" t="str">
        <f>IF(OR(Log_Art12335[[#This Row],[Machine ]]="", Log_Art12335[[#This Row],[Unit Amount]]=""), "", IFERROR(MAX(Log_Art12335[[#This Row],[Unit Amount]] * Log_Art12335[[#This Row],[$/Unit]], 3), ""))</f>
        <v/>
      </c>
      <c r="E67" s="27"/>
      <c r="F67" s="28"/>
      <c r="G67" s="29"/>
      <c r="H67" s="30"/>
      <c r="I67" s="28"/>
      <c r="J67" s="24"/>
      <c r="K67" s="28"/>
    </row>
    <row r="68" spans="1:11" ht="15.75">
      <c r="A68" s="36" t="s">
        <v>12</v>
      </c>
      <c r="B68" s="39">
        <f>_xlfn.XLOOKUP(Log_Art12335[[#This Row],[Machine ]], PriceTable[Machine], PriceTable[$/Unit], "")</f>
        <v>0</v>
      </c>
      <c r="C68" s="25"/>
      <c r="D68" s="38" t="str">
        <f>IF(OR(Log_Art12335[[#This Row],[Machine ]]="", Log_Art12335[[#This Row],[Unit Amount]]=""), "", IFERROR(MAX(Log_Art12335[[#This Row],[Unit Amount]] * Log_Art12335[[#This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_xlfn.XLOOKUP(Log_Art12335[[#This Row],[Machine ]], PriceTable[Machine], PriceTable[$/Unit], "")</f>
        <v>0</v>
      </c>
      <c r="C69" s="29"/>
      <c r="D69" s="38" t="str">
        <f>IF(OR(Log_Art12335[[#This Row],[Machine ]]="", Log_Art12335[[#This Row],[Unit Amount]]=""), "", IFERROR(MAX(Log_Art12335[[#This Row],[Unit Amount]] * Log_Art12335[[#This Row],[$/Unit]], 3), ""))</f>
        <v/>
      </c>
      <c r="E69" s="27"/>
      <c r="F69" s="28"/>
      <c r="G69" s="29"/>
      <c r="H69" s="30"/>
      <c r="I69" s="28"/>
      <c r="J69" s="24"/>
      <c r="K69" s="28"/>
    </row>
    <row r="70" spans="1:11" ht="15.75">
      <c r="A70" s="36" t="s">
        <v>12</v>
      </c>
      <c r="B70" s="39">
        <f>_xlfn.XLOOKUP(Log_Art12335[[#This Row],[Machine ]], PriceTable[Machine], PriceTable[$/Unit], "")</f>
        <v>0</v>
      </c>
      <c r="C70" s="25"/>
      <c r="D70" s="38" t="str">
        <f>IF(OR(Log_Art12335[[#This Row],[Machine ]]="", Log_Art12335[[#This Row],[Unit Amount]]=""), "", IFERROR(MAX(Log_Art12335[[#This Row],[Unit Amount]] * Log_Art12335[[#This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>
      <c r="A71" s="36" t="s">
        <v>12</v>
      </c>
      <c r="B71" s="39">
        <f>_xlfn.XLOOKUP(Log_Art12335[[#This Row],[Machine ]], PriceTable[Machine], PriceTable[$/Unit], "")</f>
        <v>0</v>
      </c>
      <c r="C71" s="29"/>
      <c r="D71" s="38" t="str">
        <f>IF(OR(Log_Art12335[[#This Row],[Machine ]]="", Log_Art12335[[#This Row],[Unit Amount]]=""), "", IFERROR(MAX(Log_Art12335[[#This Row],[Unit Amount]] * Log_Art12335[[#This Row],[$/Unit]], 3), ""))</f>
        <v/>
      </c>
      <c r="E71" s="27"/>
      <c r="F71" s="28"/>
      <c r="G71" s="29"/>
      <c r="H71" s="30"/>
      <c r="I71" s="28"/>
      <c r="J71" s="24"/>
      <c r="K71" s="28"/>
    </row>
    <row r="72" spans="1:11" ht="15.75">
      <c r="A72" s="36" t="s">
        <v>12</v>
      </c>
      <c r="B72" s="39">
        <f>_xlfn.XLOOKUP(Log_Art12335[[#This Row],[Machine ]], PriceTable[Machine], PriceTable[$/Unit], "")</f>
        <v>0</v>
      </c>
      <c r="C72" s="25"/>
      <c r="D72" s="38" t="str">
        <f>IF(OR(Log_Art12335[[#This Row],[Machine ]]="", Log_Art12335[[#This Row],[Unit Amount]]=""), "", IFERROR(MAX(Log_Art12335[[#This Row],[Unit Amount]] * Log_Art12335[[#This Row],[$/Unit]], 3), ""))</f>
        <v/>
      </c>
      <c r="E72" s="23"/>
      <c r="F72" s="24"/>
      <c r="G72" s="25"/>
      <c r="H72" s="26"/>
      <c r="I72" s="24"/>
      <c r="J72" s="24"/>
      <c r="K72" s="24"/>
    </row>
    <row r="73" spans="1:11" ht="15.75">
      <c r="A73" s="36" t="s">
        <v>12</v>
      </c>
      <c r="B73" s="39">
        <f>_xlfn.XLOOKUP(Log_Art12335[[#This Row],[Machine ]], PriceTable[Machine], PriceTable[$/Unit], "")</f>
        <v>0</v>
      </c>
      <c r="C73" s="29"/>
      <c r="D73" s="38" t="str">
        <f>IF(OR(Log_Art12335[[#This Row],[Machine ]]="", Log_Art12335[[#This Row],[Unit Amount]]=""), "", IFERROR(MAX(Log_Art12335[[#This Row],[Unit Amount]] * Log_Art12335[[#This Row],[$/Unit]], 3), ""))</f>
        <v/>
      </c>
      <c r="E73" s="27"/>
      <c r="F73" s="28"/>
      <c r="G73" s="29"/>
      <c r="H73" s="30"/>
      <c r="I73" s="28"/>
      <c r="J73" s="24"/>
      <c r="K73" s="28"/>
    </row>
    <row r="74" spans="1:11" ht="15.75">
      <c r="A74" s="36" t="s">
        <v>12</v>
      </c>
      <c r="B74" s="39">
        <f>_xlfn.XLOOKUP(Log_Art12335[[#This Row],[Machine ]], PriceTable[Machine], PriceTable[$/Unit], "")</f>
        <v>0</v>
      </c>
      <c r="C74" s="25"/>
      <c r="D74" s="38" t="str">
        <f>IF(OR(Log_Art12335[[#This Row],[Machine ]]="", Log_Art12335[[#This Row],[Unit Amount]]=""), "", IFERROR(MAX(Log_Art12335[[#This Row],[Unit Amount]] * Log_Art12335[[#This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39">
        <f>_xlfn.XLOOKUP(Log_Art12335[[#This Row],[Machine ]], PriceTable[Machine], PriceTable[$/Unit], "")</f>
        <v>0</v>
      </c>
      <c r="C75" s="29"/>
      <c r="D75" s="38" t="str">
        <f>IF(OR(Log_Art12335[[#This Row],[Machine ]]="", Log_Art12335[[#This Row],[Unit Amount]]=""), "", IFERROR(MAX(Log_Art12335[[#This Row],[Unit Amount]] * Log_Art12335[[#This Row],[$/Unit]], 3), ""))</f>
        <v/>
      </c>
      <c r="E75" s="27"/>
      <c r="F75" s="28"/>
      <c r="G75" s="29"/>
      <c r="H75" s="30"/>
      <c r="I75" s="28"/>
      <c r="J75" s="24"/>
      <c r="K75" s="28"/>
    </row>
    <row r="76" spans="1:11" ht="15.75">
      <c r="A76" s="36" t="s">
        <v>12</v>
      </c>
      <c r="B76" s="39">
        <f>_xlfn.XLOOKUP(Log_Art12335[[#This Row],[Machine ]], PriceTable[Machine], PriceTable[$/Unit], "")</f>
        <v>0</v>
      </c>
      <c r="C76" s="25"/>
      <c r="D76" s="38" t="str">
        <f>IF(OR(Log_Art12335[[#This Row],[Machine ]]="", Log_Art12335[[#This Row],[Unit Amount]]=""), "", IFERROR(MAX(Log_Art12335[[#This Row],[Unit Amount]] * Log_Art12335[[#This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39">
        <f>_xlfn.XLOOKUP(Log_Art12335[[#This Row],[Machine ]], PriceTable[Machine], PriceTable[$/Unit], "")</f>
        <v>0</v>
      </c>
      <c r="C77" s="29"/>
      <c r="D77" s="38" t="str">
        <f>IF(OR(Log_Art12335[[#This Row],[Machine ]]="", Log_Art12335[[#This Row],[Unit Amount]]=""), "", IFERROR(MAX(Log_Art12335[[#This Row],[Unit Amount]] * Log_Art12335[[#This Row],[$/Unit]], 3), ""))</f>
        <v/>
      </c>
      <c r="E77" s="27"/>
      <c r="F77" s="28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_xlfn.XLOOKUP(Log_Art12335[[#This Row],[Machine ]], PriceTable[Machine], PriceTable[$/Unit], "")</f>
        <v>0</v>
      </c>
      <c r="C78" s="25"/>
      <c r="D78" s="38" t="str">
        <f>IF(OR(Log_Art12335[[#This Row],[Machine ]]="", Log_Art12335[[#This Row],[Unit Amount]]=""), "", IFERROR(MAX(Log_Art12335[[#This Row],[Unit Amount]] * Log_Art12335[[#This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39">
        <f>_xlfn.XLOOKUP(Log_Art12335[[#This Row],[Machine ]], PriceTable[Machine], PriceTable[$/Unit], "")</f>
        <v>0</v>
      </c>
      <c r="C79" s="29"/>
      <c r="D79" s="38" t="str">
        <f>IF(OR(Log_Art12335[[#This Row],[Machine ]]="", Log_Art12335[[#This Row],[Unit Amount]]=""), "", IFERROR(MAX(Log_Art12335[[#This Row],[Unit Amount]] * Log_Art12335[[#This Row],[$/Unit]], 3), ""))</f>
        <v/>
      </c>
      <c r="E79" s="27"/>
      <c r="F79" s="28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_xlfn.XLOOKUP(Log_Art12335[[#This Row],[Machine ]], PriceTable[Machine], PriceTable[$/Unit], "")</f>
        <v>0</v>
      </c>
      <c r="C80" s="25"/>
      <c r="D80" s="38" t="str">
        <f>IF(OR(Log_Art12335[[#This Row],[Machine ]]="", Log_Art12335[[#This Row],[Unit Amount]]=""), "", IFERROR(MAX(Log_Art12335[[#This Row],[Unit Amount]] * Log_Art12335[[#This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39">
        <f>_xlfn.XLOOKUP(Log_Art12335[[#This Row],[Machine ]], PriceTable[Machine], PriceTable[$/Unit], "")</f>
        <v>0</v>
      </c>
      <c r="C81" s="29"/>
      <c r="D81" s="38" t="str">
        <f>IF(OR(Log_Art12335[[#This Row],[Machine ]]="", Log_Art12335[[#This Row],[Unit Amount]]=""), "", IFERROR(MAX(Log_Art12335[[#This Row],[Unit Amount]] * Log_Art12335[[#This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_xlfn.XLOOKUP(Log_Art12335[[#This Row],[Machine ]], PriceTable[Machine], PriceTable[$/Unit], "")</f>
        <v>0</v>
      </c>
      <c r="C82" s="25"/>
      <c r="D82" s="38" t="str">
        <f>IF(OR(Log_Art12335[[#This Row],[Machine ]]="", Log_Art12335[[#This Row],[Unit Amount]]=""), "", IFERROR(MAX(Log_Art12335[[#This Row],[Unit Amount]] * Log_Art12335[[#This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13</v>
      </c>
      <c r="B83" s="40"/>
      <c r="C83" s="25"/>
      <c r="D83" s="41"/>
      <c r="E83" s="23"/>
      <c r="F83" s="24"/>
      <c r="G83" s="25"/>
      <c r="H83" s="25"/>
      <c r="I83" s="24"/>
      <c r="J83" s="24"/>
      <c r="K83" s="56">
        <f>SUBTOTAL(109,Log_Art12335[Cost])</f>
        <v>0</v>
      </c>
    </row>
  </sheetData>
  <sheetProtection sheet="1" objects="1" scenarios="1"/>
  <protectedRanges>
    <protectedRange sqref="A3:K50" name="Range1_48_48_48_48_48_1"/>
    <protectedRange sqref="B82:I82 C79:C81 B60:B81 E79:I81 D60:D81 K79:K82" name="Range1_48_48_48_48_48_1_71_3"/>
    <protectedRange sqref="C60:C78 E60:I78 J60:K60 K61:K78 J61:J82" name="Range1_48_48_48_48_48_1_1"/>
    <protectedRange sqref="A60:A82" name="Range2_23_23_23_23_23_23_23_23_23_23_23_23_20_19"/>
  </protectedRanges>
  <mergeCells count="2">
    <mergeCell ref="A1:K1"/>
    <mergeCell ref="A58:K58"/>
  </mergeCells>
  <conditionalFormatting sqref="A1 H60:K82">
    <cfRule type="containsText" dxfId="209" priority="12" operator="containsText" text="Select Machine">
      <formula>NOT(ISERROR(SEARCH("Select Machine",A1)))</formula>
    </cfRule>
  </conditionalFormatting>
  <conditionalFormatting sqref="A3:A50 C3:C50 E3:F50">
    <cfRule type="containsText" dxfId="208" priority="7" operator="containsText" text="Select Machine">
      <formula>NOT(ISERROR(SEARCH("Select Machine",A3)))</formula>
    </cfRule>
  </conditionalFormatting>
  <conditionalFormatting sqref="A3:A50 G3:G50">
    <cfRule type="cellIs" dxfId="207" priority="8" operator="equal">
      <formula>"Select Machine"</formula>
    </cfRule>
  </conditionalFormatting>
  <conditionalFormatting sqref="A60:A82">
    <cfRule type="containsText" dxfId="206" priority="4" operator="containsText" text="Select Machine">
      <formula>NOT(ISERROR(SEARCH("Select Machine",A60)))</formula>
    </cfRule>
    <cfRule type="cellIs" dxfId="205" priority="5" operator="equal">
      <formula>"Select Machine"</formula>
    </cfRule>
  </conditionalFormatting>
  <conditionalFormatting sqref="C60:C82 E60:F82">
    <cfRule type="containsText" dxfId="204" priority="1" operator="containsText" text="Select Machine">
      <formula>NOT(ISERROR(SEARCH("Select Machine",C60)))</formula>
    </cfRule>
  </conditionalFormatting>
  <conditionalFormatting sqref="G3:G50">
    <cfRule type="containsText" dxfId="203" priority="9" operator="containsText" text="Select Machine">
      <formula>NOT(ISERROR(SEARCH("Select Machine",G3)))</formula>
    </cfRule>
  </conditionalFormatting>
  <conditionalFormatting sqref="G60:G82">
    <cfRule type="cellIs" dxfId="202" priority="2" operator="equal">
      <formula>"Select Machine"</formula>
    </cfRule>
    <cfRule type="containsText" dxfId="201" priority="3" operator="containsText" text="Select Machine">
      <formula>NOT(ISERROR(SEARCH("Select Machine",G60)))</formula>
    </cfRule>
  </conditionalFormatting>
  <conditionalFormatting sqref="H3:K50">
    <cfRule type="containsText" dxfId="200" priority="6" operator="containsText" text="Select Machine">
      <formula>NOT(ISERROR(SEARCH("Select Machine",H3)))</formula>
    </cfRule>
  </conditionalFormatting>
  <conditionalFormatting sqref="K84:K85 A85:J85 A86:K1048576">
    <cfRule type="containsText" dxfId="199" priority="10" operator="containsText" text="Select Machine">
      <formula>NOT(ISERROR(SEARCH("Select Machine",A84)))</formula>
    </cfRule>
  </conditionalFormatting>
  <conditionalFormatting sqref="L1:XFD1048576 A2:K2 A53:K57 A58 A59:K59">
    <cfRule type="containsText" dxfId="198" priority="11" operator="containsText" text="Select Machine">
      <formula>NOT(ISERROR(SEARCH("Select Machine",A1)))</formula>
    </cfRule>
  </conditionalFormatting>
  <conditionalFormatting sqref="L58:XFD58">
    <cfRule type="cellIs" dxfId="197" priority="13" operator="equal">
      <formula>"Select Machine"</formula>
    </cfRule>
  </conditionalFormatting>
  <dataValidations count="9">
    <dataValidation type="list" allowBlank="1" showInputMessage="1" showErrorMessage="1" sqref="J3:J50 J60:J82" xr:uid="{9CAA6069-00B5-4460-9D8F-ECD6185FCE88}">
      <formula1>Staff</formula1>
    </dataValidation>
    <dataValidation type="list" allowBlank="1" showInputMessage="1" showErrorMessage="1" sqref="A60:A82 A2:A50" xr:uid="{5AC0F4E6-FFF8-4A45-B69D-C44D7FBD878E}">
      <formula1>MachineList</formula1>
    </dataValidation>
    <dataValidation type="list" allowBlank="1" showInputMessage="1" showErrorMessage="1" sqref="K61" xr:uid="{468EF3E9-8CCC-4F5D-A907-4B86462C2115}">
      <formula1>"Conrad,Caroline,Calcea,Cooper,Quinton,Kiran,Lacie,Mahi,Rohan,Jacob,Madison"</formula1>
    </dataValidation>
    <dataValidation allowBlank="1" showInputMessage="1" showErrorMessage="1" sqref="F85:F1048576 F1:F2 F53:F59" xr:uid="{B841E572-2206-4AA9-9772-8019138FA0A2}"/>
    <dataValidation type="list" allowBlank="1" showInputMessage="1" showErrorMessage="1" sqref="J53" xr:uid="{85B97F96-CEBD-4541-84E4-ECBB5029B1E0}">
      <formula1>"Conrad,Spencer,Kiran,Jack Wayne,Morgan"</formula1>
    </dataValidation>
    <dataValidation type="list" allowBlank="1" showInputMessage="1" showErrorMessage="1" sqref="A53 A85" xr:uid="{C36AE7DB-4B73-4D17-8AE0-4F7FFE80C10E}">
      <formula1>"Prusa,Ultimaker S5,Ultimaker 2+,Raise3D Pro 2 Plus,Markforged Onyx,Form 2, Form 2 Specialty,Plasma,Forest CNC"</formula1>
    </dataValidation>
    <dataValidation type="list" allowBlank="1" showInputMessage="1" showErrorMessage="1" sqref="A59" xr:uid="{F02E48A8-16D0-45D4-B531-E417FF741D14}">
      <formula1>"Prusa,Raise3D Pro 2 Plus,Ultimaker S5,Ultimaker 2+,Markforged Onyx,Form 2,Form 2 Specialty"</formula1>
    </dataValidation>
    <dataValidation type="list" allowBlank="1" showInputMessage="1" showErrorMessage="1" sqref="K53 K60:K82 K3:K50" xr:uid="{EC699882-7170-4828-860E-4476E0E28E14}">
      <formula1>"Open,Closed"</formula1>
    </dataValidation>
    <dataValidation type="whole" allowBlank="1" showInputMessage="1" showErrorMessage="1" sqref="F60:F82 I3:I50 I53 I60:I82 I85 F3:F50" xr:uid="{1818BFD2-BD93-4B64-A8F0-6D8F241062E9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1B5A-167B-4413-BB77-55FC360ACC7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230E-8565-48DC-9830-0C206057DF30}">
  <dimension ref="A1:K83"/>
  <sheetViews>
    <sheetView topLeftCell="A43" zoomScaleNormal="100" workbookViewId="0">
      <selection activeCell="N59" sqref="N59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12</v>
      </c>
      <c r="B3" s="37">
        <f>_xlfn.XLOOKUP(Log_Atkinson14532[[#This Row],[Machine ]], PriceTable[Machine], PriceTable[$/Unit], "")</f>
        <v>0</v>
      </c>
      <c r="C3" s="25"/>
      <c r="D3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" s="23"/>
      <c r="F3" s="24"/>
      <c r="G3" s="25"/>
      <c r="H3" s="26"/>
      <c r="I3" s="24"/>
      <c r="J3" s="24"/>
      <c r="K3" s="24"/>
    </row>
    <row r="4" spans="1:11" ht="15.75">
      <c r="A4" s="36" t="s">
        <v>12</v>
      </c>
      <c r="B4" s="37">
        <f>_xlfn.XLOOKUP(Log_Atkinson14532[[#This Row],[Machine ]], PriceTable[Machine], PriceTable[$/Unit], "")</f>
        <v>0</v>
      </c>
      <c r="C4" s="29"/>
      <c r="D4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" s="27"/>
      <c r="F4" s="28"/>
      <c r="G4" s="29"/>
      <c r="H4" s="30"/>
      <c r="I4" s="28"/>
      <c r="J4" s="24"/>
      <c r="K4" s="28"/>
    </row>
    <row r="5" spans="1:11" ht="15.75">
      <c r="A5" s="36" t="s">
        <v>12</v>
      </c>
      <c r="B5" s="39">
        <f>_xlfn.XLOOKUP(Log_Atkinson14532[[#This Row],[Machine ]], PriceTable[Machine], PriceTable[$/Unit], "")</f>
        <v>0</v>
      </c>
      <c r="C5" s="25"/>
      <c r="D5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5" s="23"/>
      <c r="F5" s="24"/>
      <c r="G5" s="25"/>
      <c r="H5" s="26"/>
      <c r="I5" s="24"/>
      <c r="J5" s="24"/>
      <c r="K5" s="24"/>
    </row>
    <row r="6" spans="1:11" ht="15.75">
      <c r="A6" s="36" t="s">
        <v>12</v>
      </c>
      <c r="B6" s="37">
        <f>_xlfn.XLOOKUP(Log_Atkinson14532[[#This Row],[Machine ]], PriceTable[Machine], PriceTable[$/Unit], "")</f>
        <v>0</v>
      </c>
      <c r="C6" s="29"/>
      <c r="D6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6" s="27"/>
      <c r="F6" s="28"/>
      <c r="G6" s="29"/>
      <c r="H6" s="30"/>
      <c r="I6" s="28"/>
      <c r="J6" s="24"/>
      <c r="K6" s="28"/>
    </row>
    <row r="7" spans="1:11" ht="15.75">
      <c r="A7" s="36" t="s">
        <v>12</v>
      </c>
      <c r="B7" s="39">
        <f>_xlfn.XLOOKUP(Log_Atkinson14532[[#This Row],[Machine ]], PriceTable[Machine], PriceTable[$/Unit], "")</f>
        <v>0</v>
      </c>
      <c r="C7" s="25"/>
      <c r="D7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7" s="23"/>
      <c r="F7" s="24"/>
      <c r="G7" s="25"/>
      <c r="H7" s="26"/>
      <c r="I7" s="24"/>
      <c r="J7" s="24"/>
      <c r="K7" s="24"/>
    </row>
    <row r="8" spans="1:11" ht="15.75">
      <c r="A8" s="36" t="s">
        <v>12</v>
      </c>
      <c r="B8" s="37">
        <f>_xlfn.XLOOKUP(Log_Atkinson14532[[#This Row],[Machine ]], PriceTable[Machine], PriceTable[$/Unit], "")</f>
        <v>0</v>
      </c>
      <c r="C8" s="29"/>
      <c r="D8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8" s="27"/>
      <c r="F8" s="28"/>
      <c r="G8" s="29"/>
      <c r="H8" s="30"/>
      <c r="I8" s="28"/>
      <c r="J8" s="24"/>
      <c r="K8" s="28"/>
    </row>
    <row r="9" spans="1:11" ht="15.75">
      <c r="A9" s="36" t="s">
        <v>12</v>
      </c>
      <c r="B9" s="39">
        <f>_xlfn.XLOOKUP(Log_Atkinson14532[[#This Row],[Machine ]], PriceTable[Machine], PriceTable[$/Unit], "")</f>
        <v>0</v>
      </c>
      <c r="C9" s="25"/>
      <c r="D9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9" s="23"/>
      <c r="F9" s="24"/>
      <c r="G9" s="25"/>
      <c r="H9" s="26"/>
      <c r="I9" s="24"/>
      <c r="J9" s="24"/>
      <c r="K9" s="24"/>
    </row>
    <row r="10" spans="1:11" ht="15.75">
      <c r="A10" s="36" t="s">
        <v>12</v>
      </c>
      <c r="B10" s="37">
        <f>_xlfn.XLOOKUP(Log_Atkinson14532[[#This Row],[Machine ]], PriceTable[Machine], PriceTable[$/Unit], "")</f>
        <v>0</v>
      </c>
      <c r="C10" s="29"/>
      <c r="D10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0" s="27"/>
      <c r="F10" s="28"/>
      <c r="G10" s="29"/>
      <c r="H10" s="30"/>
      <c r="I10" s="28"/>
      <c r="J10" s="24"/>
      <c r="K10" s="28"/>
    </row>
    <row r="11" spans="1:11" ht="15.75">
      <c r="A11" s="36" t="s">
        <v>12</v>
      </c>
      <c r="B11" s="39">
        <f>_xlfn.XLOOKUP(Log_Atkinson14532[[#This Row],[Machine ]], PriceTable[Machine], PriceTable[$/Unit], "")</f>
        <v>0</v>
      </c>
      <c r="C11" s="25"/>
      <c r="D11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1" s="23"/>
      <c r="F11" s="24"/>
      <c r="G11" s="25"/>
      <c r="H11" s="26"/>
      <c r="I11" s="24"/>
      <c r="J11" s="24"/>
      <c r="K11" s="24"/>
    </row>
    <row r="12" spans="1:11" ht="15.75">
      <c r="A12" s="36" t="s">
        <v>12</v>
      </c>
      <c r="B12" s="37">
        <f>_xlfn.XLOOKUP(Log_Atkinson14532[[#This Row],[Machine ]], PriceTable[Machine], PriceTable[$/Unit], "")</f>
        <v>0</v>
      </c>
      <c r="C12" s="29"/>
      <c r="D12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2" s="27"/>
      <c r="F12" s="28"/>
      <c r="G12" s="29"/>
      <c r="H12" s="30"/>
      <c r="I12" s="28"/>
      <c r="J12" s="24"/>
      <c r="K12" s="28"/>
    </row>
    <row r="13" spans="1:11" ht="15.75">
      <c r="A13" s="36" t="s">
        <v>12</v>
      </c>
      <c r="B13" s="39">
        <f>_xlfn.XLOOKUP(Log_Atkinson14532[[#This Row],[Machine ]], PriceTable[Machine], PriceTable[$/Unit], "")</f>
        <v>0</v>
      </c>
      <c r="C13" s="25"/>
      <c r="D13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3" s="23"/>
      <c r="F13" s="24"/>
      <c r="G13" s="25"/>
      <c r="H13" s="26"/>
      <c r="I13" s="24"/>
      <c r="J13" s="24"/>
      <c r="K13" s="24"/>
    </row>
    <row r="14" spans="1:11" ht="15.75">
      <c r="A14" s="36" t="s">
        <v>12</v>
      </c>
      <c r="B14" s="37">
        <f>_xlfn.XLOOKUP(Log_Atkinson14532[[#This Row],[Machine ]], PriceTable[Machine], PriceTable[$/Unit], "")</f>
        <v>0</v>
      </c>
      <c r="C14" s="29"/>
      <c r="D14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4" s="27"/>
      <c r="F14" s="28"/>
      <c r="G14" s="29"/>
      <c r="H14" s="30"/>
      <c r="I14" s="28"/>
      <c r="J14" s="24"/>
      <c r="K14" s="28"/>
    </row>
    <row r="15" spans="1:11" ht="15.75">
      <c r="A15" s="36" t="s">
        <v>12</v>
      </c>
      <c r="B15" s="39">
        <f>_xlfn.XLOOKUP(Log_Atkinson14532[[#This Row],[Machine ]], PriceTable[Machine], PriceTable[$/Unit], "")</f>
        <v>0</v>
      </c>
      <c r="C15" s="25"/>
      <c r="D15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5" s="23"/>
      <c r="F15" s="24"/>
      <c r="G15" s="25"/>
      <c r="H15" s="26"/>
      <c r="I15" s="24"/>
      <c r="J15" s="24"/>
      <c r="K15" s="24"/>
    </row>
    <row r="16" spans="1:11" ht="15.75">
      <c r="A16" s="36" t="s">
        <v>12</v>
      </c>
      <c r="B16" s="37">
        <f>_xlfn.XLOOKUP(Log_Atkinson14532[[#This Row],[Machine ]], PriceTable[Machine], PriceTable[$/Unit], "")</f>
        <v>0</v>
      </c>
      <c r="C16" s="29"/>
      <c r="D16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6" s="27"/>
      <c r="F16" s="28"/>
      <c r="G16" s="29"/>
      <c r="H16" s="30"/>
      <c r="I16" s="28"/>
      <c r="J16" s="24"/>
      <c r="K16" s="28"/>
    </row>
    <row r="17" spans="1:11" ht="15.75">
      <c r="A17" s="36" t="s">
        <v>12</v>
      </c>
      <c r="B17" s="39">
        <f>_xlfn.XLOOKUP(Log_Atkinson14532[[#This Row],[Machine ]], PriceTable[Machine], PriceTable[$/Unit], "")</f>
        <v>0</v>
      </c>
      <c r="C17" s="25"/>
      <c r="D17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7">
        <f>_xlfn.XLOOKUP(Log_Atkinson14532[[#This Row],[Machine ]], PriceTable[Machine], PriceTable[$/Unit], "")</f>
        <v>0</v>
      </c>
      <c r="C18" s="29"/>
      <c r="D18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8" s="27"/>
      <c r="F18" s="28"/>
      <c r="G18" s="29"/>
      <c r="H18" s="30"/>
      <c r="I18" s="28"/>
      <c r="J18" s="24"/>
      <c r="K18" s="28"/>
    </row>
    <row r="19" spans="1:11" ht="15.75">
      <c r="A19" s="36" t="s">
        <v>12</v>
      </c>
      <c r="B19" s="39">
        <f>_xlfn.XLOOKUP(Log_Atkinson14532[[#This Row],[Machine ]], PriceTable[Machine], PriceTable[$/Unit], "")</f>
        <v>0</v>
      </c>
      <c r="C19" s="25"/>
      <c r="D19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7">
        <f>_xlfn.XLOOKUP(Log_Atkinson14532[[#This Row],[Machine ]], PriceTable[Machine], PriceTable[$/Unit], "")</f>
        <v>0</v>
      </c>
      <c r="C20" s="29"/>
      <c r="D20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0" s="27"/>
      <c r="F20" s="28"/>
      <c r="G20" s="29"/>
      <c r="H20" s="30"/>
      <c r="I20" s="28"/>
      <c r="J20" s="24"/>
      <c r="K20" s="28"/>
    </row>
    <row r="21" spans="1:11" ht="15.75">
      <c r="A21" s="36" t="s">
        <v>12</v>
      </c>
      <c r="B21" s="39">
        <f>_xlfn.XLOOKUP(Log_Atkinson14532[[#This Row],[Machine ]], PriceTable[Machine], PriceTable[$/Unit], "")</f>
        <v>0</v>
      </c>
      <c r="C21" s="25"/>
      <c r="D21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_xlfn.XLOOKUP(Log_Atkinson14532[[#This Row],[Machine ]], PriceTable[Machine], PriceTable[$/Unit], "")</f>
        <v>0</v>
      </c>
      <c r="C22" s="29"/>
      <c r="D22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2" s="27"/>
      <c r="F22" s="28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_xlfn.XLOOKUP(Log_Atkinson14532[[#This Row],[Machine ]], PriceTable[Machine], PriceTable[$/Unit], "")</f>
        <v>0</v>
      </c>
      <c r="C23" s="25"/>
      <c r="D23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_xlfn.XLOOKUP(Log_Atkinson14532[[#This Row],[Machine ]], PriceTable[Machine], PriceTable[$/Unit], "")</f>
        <v>0</v>
      </c>
      <c r="C24" s="29"/>
      <c r="D24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4" s="27"/>
      <c r="F24" s="28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_xlfn.XLOOKUP(Log_Atkinson14532[[#This Row],[Machine ]], PriceTable[Machine], PriceTable[$/Unit], "")</f>
        <v>0</v>
      </c>
      <c r="C25" s="25"/>
      <c r="D25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_xlfn.XLOOKUP(Log_Atkinson14532[[#This Row],[Machine ]], PriceTable[Machine], PriceTable[$/Unit], "")</f>
        <v>0</v>
      </c>
      <c r="C26" s="29"/>
      <c r="D26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6" s="27"/>
      <c r="F26" s="28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_xlfn.XLOOKUP(Log_Atkinson14532[[#This Row],[Machine ]], PriceTable[Machine], PriceTable[$/Unit], "")</f>
        <v>0</v>
      </c>
      <c r="C27" s="25"/>
      <c r="D27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_xlfn.XLOOKUP(Log_Atkinson14532[[#This Row],[Machine ]], PriceTable[Machine], PriceTable[$/Unit], "")</f>
        <v>0</v>
      </c>
      <c r="C28" s="29"/>
      <c r="D28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8" s="27"/>
      <c r="F28" s="28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_xlfn.XLOOKUP(Log_Atkinson14532[[#This Row],[Machine ]], PriceTable[Machine], PriceTable[$/Unit], "")</f>
        <v>0</v>
      </c>
      <c r="C29" s="25"/>
      <c r="D29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_xlfn.XLOOKUP(Log_Atkinson14532[[#This Row],[Machine ]], PriceTable[Machine], PriceTable[$/Unit], "")</f>
        <v>0</v>
      </c>
      <c r="C30" s="29"/>
      <c r="D30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0" s="27"/>
      <c r="F30" s="28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_xlfn.XLOOKUP(Log_Atkinson14532[[#This Row],[Machine ]], PriceTable[Machine], PriceTable[$/Unit], "")</f>
        <v>0</v>
      </c>
      <c r="C31" s="25"/>
      <c r="D31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_xlfn.XLOOKUP(Log_Atkinson14532[[#This Row],[Machine ]], PriceTable[Machine], PriceTable[$/Unit], "")</f>
        <v>0</v>
      </c>
      <c r="C32" s="29"/>
      <c r="D32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2" s="27"/>
      <c r="F32" s="28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_xlfn.XLOOKUP(Log_Atkinson14532[[#This Row],[Machine ]], PriceTable[Machine], PriceTable[$/Unit], "")</f>
        <v>0</v>
      </c>
      <c r="C33" s="25"/>
      <c r="D33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_xlfn.XLOOKUP(Log_Atkinson14532[[#This Row],[Machine ]], PriceTable[Machine], PriceTable[$/Unit], "")</f>
        <v>0</v>
      </c>
      <c r="C34" s="29"/>
      <c r="D34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4" s="27"/>
      <c r="F34" s="28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_xlfn.XLOOKUP(Log_Atkinson14532[[#This Row],[Machine ]], PriceTable[Machine], PriceTable[$/Unit], "")</f>
        <v>0</v>
      </c>
      <c r="C35" s="25"/>
      <c r="D35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_xlfn.XLOOKUP(Log_Atkinson14532[[#This Row],[Machine ]], PriceTable[Machine], PriceTable[$/Unit], "")</f>
        <v>0</v>
      </c>
      <c r="C36" s="29"/>
      <c r="D36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6" s="27"/>
      <c r="F36" s="28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_xlfn.XLOOKUP(Log_Atkinson14532[[#This Row],[Machine ]], PriceTable[Machine], PriceTable[$/Unit], "")</f>
        <v>0</v>
      </c>
      <c r="C37" s="25"/>
      <c r="D37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_xlfn.XLOOKUP(Log_Atkinson14532[[#This Row],[Machine ]], PriceTable[Machine], PriceTable[$/Unit], "")</f>
        <v>0</v>
      </c>
      <c r="C38" s="29"/>
      <c r="D38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8" s="27"/>
      <c r="F38" s="28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_xlfn.XLOOKUP(Log_Atkinson14532[[#This Row],[Machine ]], PriceTable[Machine], PriceTable[$/Unit], "")</f>
        <v>0</v>
      </c>
      <c r="C39" s="25"/>
      <c r="D39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_xlfn.XLOOKUP(Log_Atkinson14532[[#This Row],[Machine ]], PriceTable[Machine], PriceTable[$/Unit], "")</f>
        <v>0</v>
      </c>
      <c r="C40" s="29"/>
      <c r="D40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0" s="27"/>
      <c r="F40" s="28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_xlfn.XLOOKUP(Log_Atkinson14532[[#This Row],[Machine ]], PriceTable[Machine], PriceTable[$/Unit], "")</f>
        <v>0</v>
      </c>
      <c r="C41" s="25"/>
      <c r="D41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_xlfn.XLOOKUP(Log_Atkinson14532[[#This Row],[Machine ]], PriceTable[Machine], PriceTable[$/Unit], "")</f>
        <v>0</v>
      </c>
      <c r="C42" s="29"/>
      <c r="D42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2" s="27"/>
      <c r="F42" s="28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_xlfn.XLOOKUP(Log_Atkinson14532[[#This Row],[Machine ]], PriceTable[Machine], PriceTable[$/Unit], "")</f>
        <v>0</v>
      </c>
      <c r="C43" s="25"/>
      <c r="D43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_xlfn.XLOOKUP(Log_Atkinson14532[[#This Row],[Machine ]], PriceTable[Machine], PriceTable[$/Unit], "")</f>
        <v>0</v>
      </c>
      <c r="C44" s="29"/>
      <c r="D44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4" s="27"/>
      <c r="F44" s="28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_xlfn.XLOOKUP(Log_Atkinson14532[[#This Row],[Machine ]], PriceTable[Machine], PriceTable[$/Unit], "")</f>
        <v>0</v>
      </c>
      <c r="C45" s="25"/>
      <c r="D45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5" s="23"/>
      <c r="F45" s="24"/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_xlfn.XLOOKUP(Log_Atkinson14532[[#This Row],[Machine ]], PriceTable[Machine], PriceTable[$/Unit], "")</f>
        <v>0</v>
      </c>
      <c r="C46" s="29"/>
      <c r="D46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6" s="27"/>
      <c r="F46" s="28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_xlfn.XLOOKUP(Log_Atkinson14532[[#This Row],[Machine ]], PriceTable[Machine], PriceTable[$/Unit], "")</f>
        <v>0</v>
      </c>
      <c r="C47" s="25"/>
      <c r="D47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_xlfn.XLOOKUP(Log_Atkinson14532[[#This Row],[Machine ]], PriceTable[Machine], PriceTable[$/Unit], "")</f>
        <v>0</v>
      </c>
      <c r="C48" s="29"/>
      <c r="D48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8" s="27"/>
      <c r="F48" s="28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_xlfn.XLOOKUP(Log_Atkinson14532[[#This Row],[Machine ]], PriceTable[Machine], PriceTable[$/Unit], "")</f>
        <v>0</v>
      </c>
      <c r="C49" s="25"/>
      <c r="D49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_xlfn.XLOOKUP(Log_Atkinson14532[[#This Row],[Machine ]], PriceTable[Machine], PriceTable[$/Unit], "")</f>
        <v>0</v>
      </c>
      <c r="C50" s="25"/>
      <c r="D50" s="38" t="str">
        <f>IF(OR(Log_Atkinson14532[[#This Row],[Machine ]]="", Log_Atkinson14532[[#This Row],[Unit Amount]]=""), "", IFERROR(MAX(Log_Atkinson14532[[#This Row],[Unit Amount]] * Log_Atkinson14532[[#This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13</v>
      </c>
      <c r="B51" s="40"/>
      <c r="C51" s="25"/>
      <c r="D51" s="41"/>
      <c r="E51" s="23"/>
      <c r="F51" s="24"/>
      <c r="G51" s="25"/>
      <c r="H51" s="25"/>
      <c r="I51" s="24"/>
      <c r="J51" s="24"/>
      <c r="K51" s="57">
        <f>SUBTOTAL(109,Log_Atkinson14532[Cost])</f>
        <v>0</v>
      </c>
    </row>
    <row r="52" spans="1:11" ht="15.75">
      <c r="A52" s="42"/>
      <c r="B52" s="43"/>
      <c r="C52" s="44"/>
      <c r="D52" s="45"/>
      <c r="E52" s="46"/>
      <c r="F52" s="47"/>
      <c r="G52" s="44"/>
      <c r="H52" s="44"/>
      <c r="I52" s="47"/>
      <c r="J52" s="47"/>
      <c r="K52" s="47"/>
    </row>
    <row r="53" spans="1:11" ht="15.75">
      <c r="C53" s="48"/>
      <c r="E53" s="49"/>
      <c r="G53" s="49"/>
      <c r="H53" s="50"/>
    </row>
    <row r="54" spans="1:11" ht="15.75">
      <c r="C54" s="51"/>
    </row>
    <row r="55" spans="1:11" ht="15.75" customHeight="1"/>
    <row r="56" spans="1:11" ht="15.75"/>
    <row r="57" spans="1:11" ht="11.25" customHeight="1"/>
    <row r="58" spans="1:11" ht="24">
      <c r="A58" s="64" t="s">
        <v>14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.75">
      <c r="A59" s="52" t="s">
        <v>1</v>
      </c>
      <c r="B59" s="53" t="s">
        <v>2</v>
      </c>
      <c r="C59" s="53" t="s">
        <v>3</v>
      </c>
      <c r="D59" s="54" t="s">
        <v>4</v>
      </c>
      <c r="E59" s="55" t="s">
        <v>5</v>
      </c>
      <c r="F59" s="52" t="s">
        <v>6</v>
      </c>
      <c r="G59" s="55" t="s">
        <v>7</v>
      </c>
      <c r="H59" s="52" t="s">
        <v>15</v>
      </c>
      <c r="I59" s="52" t="s">
        <v>9</v>
      </c>
      <c r="J59" s="52" t="s">
        <v>10</v>
      </c>
      <c r="K59" s="52" t="s">
        <v>11</v>
      </c>
    </row>
    <row r="60" spans="1:11" ht="15.75">
      <c r="A60" s="36" t="s">
        <v>12</v>
      </c>
      <c r="B60" s="39">
        <f>_xlfn.XLOOKUP(Log_Art12333[[#This Row],[Machine ]], PriceTable[Machine], PriceTable[$/Unit], "")</f>
        <v>0</v>
      </c>
      <c r="C60" s="25"/>
      <c r="D60" s="38" t="str">
        <f>IF(OR(Log_Art12333[[#This Row],[Machine ]]="", Log_Art12333[[#This Row],[Unit Amount]]=""), "", IFERROR(MAX(Log_Art12333[[#This Row],[Unit Amount]] * Log_Art12333[[#This Row],[$/Unit]], 3), ""))</f>
        <v/>
      </c>
      <c r="E60" s="23"/>
      <c r="F60" s="24"/>
      <c r="G60" s="25"/>
      <c r="H60" s="26"/>
      <c r="I60" s="24"/>
      <c r="J60" s="24"/>
      <c r="K60" s="24"/>
    </row>
    <row r="61" spans="1:11" ht="15.75">
      <c r="A61" s="36" t="s">
        <v>12</v>
      </c>
      <c r="B61" s="39">
        <f>_xlfn.XLOOKUP(Log_Art12333[[#This Row],[Machine ]], PriceTable[Machine], PriceTable[$/Unit], "")</f>
        <v>0</v>
      </c>
      <c r="C61" s="29"/>
      <c r="D61" s="38" t="str">
        <f>IF(OR(Log_Art12333[[#This Row],[Machine ]]="", Log_Art12333[[#This Row],[Unit Amount]]=""), "", IFERROR(MAX(Log_Art12333[[#This Row],[Unit Amount]] * Log_Art12333[[#This Row],[$/Unit]], 3), ""))</f>
        <v/>
      </c>
      <c r="E61" s="27"/>
      <c r="F61" s="28"/>
      <c r="G61" s="29"/>
      <c r="H61" s="30"/>
      <c r="I61" s="28"/>
      <c r="J61" s="24"/>
      <c r="K61" s="28"/>
    </row>
    <row r="62" spans="1:11" ht="15.75">
      <c r="A62" s="36" t="s">
        <v>12</v>
      </c>
      <c r="B62" s="39">
        <f>_xlfn.XLOOKUP(Log_Art12333[[#This Row],[Machine ]], PriceTable[Machine], PriceTable[$/Unit], "")</f>
        <v>0</v>
      </c>
      <c r="C62" s="25"/>
      <c r="D62" s="38" t="str">
        <f>IF(OR(Log_Art12333[[#This Row],[Machine ]]="", Log_Art12333[[#This Row],[Unit Amount]]=""), "", IFERROR(MAX(Log_Art12333[[#This Row],[Unit Amount]] * Log_Art12333[[#This Row],[$/Unit]], 3), ""))</f>
        <v/>
      </c>
      <c r="E62" s="23"/>
      <c r="F62" s="24"/>
      <c r="G62" s="25"/>
      <c r="H62" s="26"/>
      <c r="I62" s="24"/>
      <c r="J62" s="24"/>
      <c r="K62" s="24"/>
    </row>
    <row r="63" spans="1:11" ht="15.75">
      <c r="A63" s="36" t="s">
        <v>12</v>
      </c>
      <c r="B63" s="39">
        <f>_xlfn.XLOOKUP(Log_Art12333[[#This Row],[Machine ]], PriceTable[Machine], PriceTable[$/Unit], "")</f>
        <v>0</v>
      </c>
      <c r="C63" s="29"/>
      <c r="D63" s="38" t="str">
        <f>IF(OR(Log_Art12333[[#This Row],[Machine ]]="", Log_Art12333[[#This Row],[Unit Amount]]=""), "", IFERROR(MAX(Log_Art12333[[#This Row],[Unit Amount]] * Log_Art12333[[#This Row],[$/Unit]], 3), ""))</f>
        <v/>
      </c>
      <c r="E63" s="27"/>
      <c r="F63" s="28"/>
      <c r="G63" s="29"/>
      <c r="H63" s="30"/>
      <c r="I63" s="28"/>
      <c r="J63" s="24"/>
      <c r="K63" s="28"/>
    </row>
    <row r="64" spans="1:11" ht="15.75">
      <c r="A64" s="36" t="s">
        <v>12</v>
      </c>
      <c r="B64" s="39">
        <f>_xlfn.XLOOKUP(Log_Art12333[[#This Row],[Machine ]], PriceTable[Machine], PriceTable[$/Unit], "")</f>
        <v>0</v>
      </c>
      <c r="C64" s="25"/>
      <c r="D64" s="38" t="str">
        <f>IF(OR(Log_Art12333[[#This Row],[Machine ]]="", Log_Art12333[[#This Row],[Unit Amount]]=""), "", IFERROR(MAX(Log_Art12333[[#This Row],[Unit Amount]] * Log_Art12333[[#This Row],[$/Unit]], 3), ""))</f>
        <v/>
      </c>
      <c r="E64" s="23"/>
      <c r="F64" s="24"/>
      <c r="G64" s="25"/>
      <c r="H64" s="26"/>
      <c r="I64" s="24"/>
      <c r="J64" s="24"/>
      <c r="K64" s="24"/>
    </row>
    <row r="65" spans="1:11" ht="15.75">
      <c r="A65" s="36" t="s">
        <v>12</v>
      </c>
      <c r="B65" s="39">
        <f>_xlfn.XLOOKUP(Log_Art12333[[#This Row],[Machine ]], PriceTable[Machine], PriceTable[$/Unit], "")</f>
        <v>0</v>
      </c>
      <c r="C65" s="29"/>
      <c r="D65" s="38" t="str">
        <f>IF(OR(Log_Art12333[[#This Row],[Machine ]]="", Log_Art12333[[#This Row],[Unit Amount]]=""), "", IFERROR(MAX(Log_Art12333[[#This Row],[Unit Amount]] * Log_Art12333[[#This Row],[$/Unit]], 3), ""))</f>
        <v/>
      </c>
      <c r="E65" s="27"/>
      <c r="F65" s="28"/>
      <c r="G65" s="29"/>
      <c r="H65" s="30"/>
      <c r="I65" s="28"/>
      <c r="J65" s="24"/>
      <c r="K65" s="28"/>
    </row>
    <row r="66" spans="1:11" ht="15.75">
      <c r="A66" s="36" t="s">
        <v>12</v>
      </c>
      <c r="B66" s="39">
        <f>_xlfn.XLOOKUP(Log_Art12333[[#This Row],[Machine ]], PriceTable[Machine], PriceTable[$/Unit], "")</f>
        <v>0</v>
      </c>
      <c r="C66" s="25"/>
      <c r="D66" s="38" t="str">
        <f>IF(OR(Log_Art12333[[#This Row],[Machine ]]="", Log_Art12333[[#This Row],[Unit Amount]]=""), "", IFERROR(MAX(Log_Art12333[[#This Row],[Unit Amount]] * Log_Art12333[[#This Row],[$/Unit]], 3), ""))</f>
        <v/>
      </c>
      <c r="E66" s="23"/>
      <c r="F66" s="24"/>
      <c r="G66" s="25"/>
      <c r="H66" s="26"/>
      <c r="I66" s="24"/>
      <c r="J66" s="24"/>
      <c r="K66" s="24"/>
    </row>
    <row r="67" spans="1:11" ht="15.75">
      <c r="A67" s="36" t="s">
        <v>12</v>
      </c>
      <c r="B67" s="39">
        <f>_xlfn.XLOOKUP(Log_Art12333[[#This Row],[Machine ]], PriceTable[Machine], PriceTable[$/Unit], "")</f>
        <v>0</v>
      </c>
      <c r="C67" s="29"/>
      <c r="D67" s="38" t="str">
        <f>IF(OR(Log_Art12333[[#This Row],[Machine ]]="", Log_Art12333[[#This Row],[Unit Amount]]=""), "", IFERROR(MAX(Log_Art12333[[#This Row],[Unit Amount]] * Log_Art12333[[#This Row],[$/Unit]], 3), ""))</f>
        <v/>
      </c>
      <c r="E67" s="27"/>
      <c r="F67" s="28"/>
      <c r="G67" s="29"/>
      <c r="H67" s="30"/>
      <c r="I67" s="28"/>
      <c r="J67" s="24"/>
      <c r="K67" s="28"/>
    </row>
    <row r="68" spans="1:11" ht="15.75">
      <c r="A68" s="36" t="s">
        <v>12</v>
      </c>
      <c r="B68" s="39">
        <f>_xlfn.XLOOKUP(Log_Art12333[[#This Row],[Machine ]], PriceTable[Machine], PriceTable[$/Unit], "")</f>
        <v>0</v>
      </c>
      <c r="C68" s="25"/>
      <c r="D68" s="38" t="str">
        <f>IF(OR(Log_Art12333[[#This Row],[Machine ]]="", Log_Art12333[[#This Row],[Unit Amount]]=""), "", IFERROR(MAX(Log_Art12333[[#This Row],[Unit Amount]] * Log_Art12333[[#This Row],[$/Unit]], 3), ""))</f>
        <v/>
      </c>
      <c r="E68" s="23"/>
      <c r="F68" s="24"/>
      <c r="G68" s="25"/>
      <c r="H68" s="26"/>
      <c r="I68" s="24"/>
      <c r="J68" s="24"/>
      <c r="K68" s="24"/>
    </row>
    <row r="69" spans="1:11" ht="15.75">
      <c r="A69" s="36" t="s">
        <v>12</v>
      </c>
      <c r="B69" s="39">
        <f>_xlfn.XLOOKUP(Log_Art12333[[#This Row],[Machine ]], PriceTable[Machine], PriceTable[$/Unit], "")</f>
        <v>0</v>
      </c>
      <c r="C69" s="29"/>
      <c r="D69" s="38" t="str">
        <f>IF(OR(Log_Art12333[[#This Row],[Machine ]]="", Log_Art12333[[#This Row],[Unit Amount]]=""), "", IFERROR(MAX(Log_Art12333[[#This Row],[Unit Amount]] * Log_Art12333[[#This Row],[$/Unit]], 3), ""))</f>
        <v/>
      </c>
      <c r="E69" s="27"/>
      <c r="F69" s="28"/>
      <c r="G69" s="29"/>
      <c r="H69" s="30"/>
      <c r="I69" s="28"/>
      <c r="J69" s="24"/>
      <c r="K69" s="28"/>
    </row>
    <row r="70" spans="1:11" ht="15.75">
      <c r="A70" s="36" t="s">
        <v>12</v>
      </c>
      <c r="B70" s="39">
        <f>_xlfn.XLOOKUP(Log_Art12333[[#This Row],[Machine ]], PriceTable[Machine], PriceTable[$/Unit], "")</f>
        <v>0</v>
      </c>
      <c r="C70" s="25"/>
      <c r="D70" s="38" t="str">
        <f>IF(OR(Log_Art12333[[#This Row],[Machine ]]="", Log_Art12333[[#This Row],[Unit Amount]]=""), "", IFERROR(MAX(Log_Art12333[[#This Row],[Unit Amount]] * Log_Art12333[[#This Row],[$/Unit]], 3), ""))</f>
        <v/>
      </c>
      <c r="E70" s="23"/>
      <c r="F70" s="24"/>
      <c r="G70" s="25"/>
      <c r="H70" s="26"/>
      <c r="I70" s="24"/>
      <c r="J70" s="24"/>
      <c r="K70" s="24"/>
    </row>
    <row r="71" spans="1:11" ht="15.75">
      <c r="A71" s="36" t="s">
        <v>12</v>
      </c>
      <c r="B71" s="39">
        <f>_xlfn.XLOOKUP(Log_Art12333[[#This Row],[Machine ]], PriceTable[Machine], PriceTable[$/Unit], "")</f>
        <v>0</v>
      </c>
      <c r="C71" s="29"/>
      <c r="D71" s="38" t="str">
        <f>IF(OR(Log_Art12333[[#This Row],[Machine ]]="", Log_Art12333[[#This Row],[Unit Amount]]=""), "", IFERROR(MAX(Log_Art12333[[#This Row],[Unit Amount]] * Log_Art12333[[#This Row],[$/Unit]], 3), ""))</f>
        <v/>
      </c>
      <c r="E71" s="27"/>
      <c r="F71" s="28"/>
      <c r="G71" s="29"/>
      <c r="H71" s="30"/>
      <c r="I71" s="28"/>
      <c r="J71" s="24"/>
      <c r="K71" s="28"/>
    </row>
    <row r="72" spans="1:11" ht="15.75">
      <c r="A72" s="36" t="s">
        <v>12</v>
      </c>
      <c r="B72" s="39">
        <f>_xlfn.XLOOKUP(Log_Art12333[[#This Row],[Machine ]], PriceTable[Machine], PriceTable[$/Unit], "")</f>
        <v>0</v>
      </c>
      <c r="C72" s="25"/>
      <c r="D72" s="38" t="str">
        <f>IF(OR(Log_Art12333[[#This Row],[Machine ]]="", Log_Art12333[[#This Row],[Unit Amount]]=""), "", IFERROR(MAX(Log_Art12333[[#This Row],[Unit Amount]] * Log_Art12333[[#This Row],[$/Unit]], 3), ""))</f>
        <v/>
      </c>
      <c r="E72" s="23"/>
      <c r="F72" s="24"/>
      <c r="G72" s="25"/>
      <c r="H72" s="26"/>
      <c r="I72" s="24"/>
      <c r="J72" s="24"/>
      <c r="K72" s="24"/>
    </row>
    <row r="73" spans="1:11" ht="15.75">
      <c r="A73" s="36" t="s">
        <v>12</v>
      </c>
      <c r="B73" s="39">
        <f>_xlfn.XLOOKUP(Log_Art12333[[#This Row],[Machine ]], PriceTable[Machine], PriceTable[$/Unit], "")</f>
        <v>0</v>
      </c>
      <c r="C73" s="29"/>
      <c r="D73" s="38" t="str">
        <f>IF(OR(Log_Art12333[[#This Row],[Machine ]]="", Log_Art12333[[#This Row],[Unit Amount]]=""), "", IFERROR(MAX(Log_Art12333[[#This Row],[Unit Amount]] * Log_Art12333[[#This Row],[$/Unit]], 3), ""))</f>
        <v/>
      </c>
      <c r="E73" s="27"/>
      <c r="F73" s="28"/>
      <c r="G73" s="29"/>
      <c r="H73" s="30"/>
      <c r="I73" s="28"/>
      <c r="J73" s="24"/>
      <c r="K73" s="28"/>
    </row>
    <row r="74" spans="1:11" ht="15.75">
      <c r="A74" s="36" t="s">
        <v>12</v>
      </c>
      <c r="B74" s="39">
        <f>_xlfn.XLOOKUP(Log_Art12333[[#This Row],[Machine ]], PriceTable[Machine], PriceTable[$/Unit], "")</f>
        <v>0</v>
      </c>
      <c r="C74" s="25"/>
      <c r="D74" s="38" t="str">
        <f>IF(OR(Log_Art12333[[#This Row],[Machine ]]="", Log_Art12333[[#This Row],[Unit Amount]]=""), "", IFERROR(MAX(Log_Art12333[[#This Row],[Unit Amount]] * Log_Art12333[[#This Row],[$/Unit]], 3), ""))</f>
        <v/>
      </c>
      <c r="E74" s="23"/>
      <c r="F74" s="24"/>
      <c r="G74" s="25"/>
      <c r="H74" s="26"/>
      <c r="I74" s="24"/>
      <c r="J74" s="24"/>
      <c r="K74" s="24"/>
    </row>
    <row r="75" spans="1:11" ht="15.75">
      <c r="A75" s="36" t="s">
        <v>12</v>
      </c>
      <c r="B75" s="39">
        <f>_xlfn.XLOOKUP(Log_Art12333[[#This Row],[Machine ]], PriceTable[Machine], PriceTable[$/Unit], "")</f>
        <v>0</v>
      </c>
      <c r="C75" s="29"/>
      <c r="D75" s="38" t="str">
        <f>IF(OR(Log_Art12333[[#This Row],[Machine ]]="", Log_Art12333[[#This Row],[Unit Amount]]=""), "", IFERROR(MAX(Log_Art12333[[#This Row],[Unit Amount]] * Log_Art12333[[#This Row],[$/Unit]], 3), ""))</f>
        <v/>
      </c>
      <c r="E75" s="27"/>
      <c r="F75" s="28"/>
      <c r="G75" s="29"/>
      <c r="H75" s="30"/>
      <c r="I75" s="28"/>
      <c r="J75" s="24"/>
      <c r="K75" s="28"/>
    </row>
    <row r="76" spans="1:11" ht="15.75">
      <c r="A76" s="36" t="s">
        <v>12</v>
      </c>
      <c r="B76" s="39">
        <f>_xlfn.XLOOKUP(Log_Art12333[[#This Row],[Machine ]], PriceTable[Machine], PriceTable[$/Unit], "")</f>
        <v>0</v>
      </c>
      <c r="C76" s="25"/>
      <c r="D76" s="38" t="str">
        <f>IF(OR(Log_Art12333[[#This Row],[Machine ]]="", Log_Art12333[[#This Row],[Unit Amount]]=""), "", IFERROR(MAX(Log_Art12333[[#This Row],[Unit Amount]] * Log_Art12333[[#This Row],[$/Unit]], 3), ""))</f>
        <v/>
      </c>
      <c r="E76" s="23"/>
      <c r="F76" s="24"/>
      <c r="G76" s="25"/>
      <c r="H76" s="26"/>
      <c r="I76" s="24"/>
      <c r="J76" s="24"/>
      <c r="K76" s="24"/>
    </row>
    <row r="77" spans="1:11" ht="15.75">
      <c r="A77" s="36" t="s">
        <v>12</v>
      </c>
      <c r="B77" s="39">
        <f>_xlfn.XLOOKUP(Log_Art12333[[#This Row],[Machine ]], PriceTable[Machine], PriceTable[$/Unit], "")</f>
        <v>0</v>
      </c>
      <c r="C77" s="29"/>
      <c r="D77" s="38" t="str">
        <f>IF(OR(Log_Art12333[[#This Row],[Machine ]]="", Log_Art12333[[#This Row],[Unit Amount]]=""), "", IFERROR(MAX(Log_Art12333[[#This Row],[Unit Amount]] * Log_Art12333[[#This Row],[$/Unit]], 3), ""))</f>
        <v/>
      </c>
      <c r="E77" s="27"/>
      <c r="F77" s="28"/>
      <c r="G77" s="29"/>
      <c r="H77" s="30"/>
      <c r="I77" s="28"/>
      <c r="J77" s="24"/>
      <c r="K77" s="28"/>
    </row>
    <row r="78" spans="1:11" ht="15.75">
      <c r="A78" s="36" t="s">
        <v>12</v>
      </c>
      <c r="B78" s="39">
        <f>_xlfn.XLOOKUP(Log_Art12333[[#This Row],[Machine ]], PriceTable[Machine], PriceTable[$/Unit], "")</f>
        <v>0</v>
      </c>
      <c r="C78" s="25"/>
      <c r="D78" s="38" t="str">
        <f>IF(OR(Log_Art12333[[#This Row],[Machine ]]="", Log_Art12333[[#This Row],[Unit Amount]]=""), "", IFERROR(MAX(Log_Art12333[[#This Row],[Unit Amount]] * Log_Art12333[[#This Row],[$/Unit]], 3), ""))</f>
        <v/>
      </c>
      <c r="E78" s="23"/>
      <c r="F78" s="24"/>
      <c r="G78" s="25"/>
      <c r="H78" s="26"/>
      <c r="I78" s="24"/>
      <c r="J78" s="24"/>
      <c r="K78" s="24"/>
    </row>
    <row r="79" spans="1:11" ht="15.75">
      <c r="A79" s="36" t="s">
        <v>12</v>
      </c>
      <c r="B79" s="39">
        <f>_xlfn.XLOOKUP(Log_Art12333[[#This Row],[Machine ]], PriceTable[Machine], PriceTable[$/Unit], "")</f>
        <v>0</v>
      </c>
      <c r="C79" s="29"/>
      <c r="D79" s="38" t="str">
        <f>IF(OR(Log_Art12333[[#This Row],[Machine ]]="", Log_Art12333[[#This Row],[Unit Amount]]=""), "", IFERROR(MAX(Log_Art12333[[#This Row],[Unit Amount]] * Log_Art12333[[#This Row],[$/Unit]], 3), ""))</f>
        <v/>
      </c>
      <c r="E79" s="27"/>
      <c r="F79" s="28"/>
      <c r="G79" s="29"/>
      <c r="H79" s="30"/>
      <c r="I79" s="28"/>
      <c r="J79" s="24"/>
      <c r="K79" s="28"/>
    </row>
    <row r="80" spans="1:11" ht="15.75">
      <c r="A80" s="36" t="s">
        <v>12</v>
      </c>
      <c r="B80" s="39">
        <f>_xlfn.XLOOKUP(Log_Art12333[[#This Row],[Machine ]], PriceTable[Machine], PriceTable[$/Unit], "")</f>
        <v>0</v>
      </c>
      <c r="C80" s="25"/>
      <c r="D80" s="38" t="str">
        <f>IF(OR(Log_Art12333[[#This Row],[Machine ]]="", Log_Art12333[[#This Row],[Unit Amount]]=""), "", IFERROR(MAX(Log_Art12333[[#This Row],[Unit Amount]] * Log_Art12333[[#This Row],[$/Unit]], 3), ""))</f>
        <v/>
      </c>
      <c r="E80" s="23"/>
      <c r="F80" s="24"/>
      <c r="G80" s="25"/>
      <c r="H80" s="26"/>
      <c r="I80" s="24"/>
      <c r="J80" s="24"/>
      <c r="K80" s="24"/>
    </row>
    <row r="81" spans="1:11" ht="15.75">
      <c r="A81" s="36" t="s">
        <v>12</v>
      </c>
      <c r="B81" s="39">
        <f>_xlfn.XLOOKUP(Log_Art12333[[#This Row],[Machine ]], PriceTable[Machine], PriceTable[$/Unit], "")</f>
        <v>0</v>
      </c>
      <c r="C81" s="29"/>
      <c r="D81" s="38" t="str">
        <f>IF(OR(Log_Art12333[[#This Row],[Machine ]]="", Log_Art12333[[#This Row],[Unit Amount]]=""), "", IFERROR(MAX(Log_Art12333[[#This Row],[Unit Amount]] * Log_Art12333[[#This Row],[$/Unit]], 3), ""))</f>
        <v/>
      </c>
      <c r="E81" s="27"/>
      <c r="F81" s="28"/>
      <c r="G81" s="29"/>
      <c r="H81" s="30"/>
      <c r="I81" s="28"/>
      <c r="J81" s="24"/>
      <c r="K81" s="28"/>
    </row>
    <row r="82" spans="1:11" ht="15.75">
      <c r="A82" s="36" t="s">
        <v>12</v>
      </c>
      <c r="B82" s="39">
        <f>_xlfn.XLOOKUP(Log_Art12333[[#This Row],[Machine ]], PriceTable[Machine], PriceTable[$/Unit], "")</f>
        <v>0</v>
      </c>
      <c r="C82" s="25"/>
      <c r="D82" s="38" t="str">
        <f>IF(OR(Log_Art12333[[#This Row],[Machine ]]="", Log_Art12333[[#This Row],[Unit Amount]]=""), "", IFERROR(MAX(Log_Art12333[[#This Row],[Unit Amount]] * Log_Art12333[[#This Row],[$/Unit]], 3), ""))</f>
        <v/>
      </c>
      <c r="E82" s="23"/>
      <c r="F82" s="24"/>
      <c r="G82" s="25"/>
      <c r="H82" s="26"/>
      <c r="I82" s="24"/>
      <c r="J82" s="24"/>
      <c r="K82" s="24"/>
    </row>
    <row r="83" spans="1:11" ht="15.75">
      <c r="A83" s="36" t="s">
        <v>13</v>
      </c>
      <c r="B83" s="40"/>
      <c r="C83" s="25"/>
      <c r="D83" s="41"/>
      <c r="E83" s="23"/>
      <c r="F83" s="24"/>
      <c r="G83" s="25"/>
      <c r="H83" s="25"/>
      <c r="I83" s="24"/>
      <c r="J83" s="24"/>
      <c r="K83" s="56">
        <f>SUBTOTAL(109,Log_Art12333[Cost])</f>
        <v>0</v>
      </c>
    </row>
  </sheetData>
  <sheetProtection sheet="1" objects="1" scenarios="1"/>
  <protectedRanges>
    <protectedRange sqref="A3:K50" name="Range1_48_48_48_48_48_1"/>
    <protectedRange sqref="B82:I82 C79:C81 B60:B81 E79:I81 D60:D81 K79:K82" name="Range1_48_48_48_48_48_1_71_3"/>
    <protectedRange sqref="C60:C78 E60:I78 J60:K60 K61:K78 J61:J82" name="Range1_48_48_48_48_48_1_1"/>
    <protectedRange sqref="A60:A82" name="Range2_23_23_23_23_23_23_23_23_23_23_23_23_20_19"/>
  </protectedRanges>
  <mergeCells count="2">
    <mergeCell ref="A1:K1"/>
    <mergeCell ref="A58:K58"/>
  </mergeCells>
  <conditionalFormatting sqref="A1 H60:K82">
    <cfRule type="containsText" dxfId="144" priority="12" operator="containsText" text="Select Machine">
      <formula>NOT(ISERROR(SEARCH("Select Machine",A1)))</formula>
    </cfRule>
  </conditionalFormatting>
  <conditionalFormatting sqref="A3:A50 C3:C50 E3:F50">
    <cfRule type="containsText" dxfId="143" priority="7" operator="containsText" text="Select Machine">
      <formula>NOT(ISERROR(SEARCH("Select Machine",A3)))</formula>
    </cfRule>
  </conditionalFormatting>
  <conditionalFormatting sqref="A3:A50 G3:G50">
    <cfRule type="cellIs" dxfId="142" priority="8" operator="equal">
      <formula>"Select Machine"</formula>
    </cfRule>
  </conditionalFormatting>
  <conditionalFormatting sqref="A60:A82">
    <cfRule type="containsText" dxfId="141" priority="4" operator="containsText" text="Select Machine">
      <formula>NOT(ISERROR(SEARCH("Select Machine",A60)))</formula>
    </cfRule>
    <cfRule type="cellIs" dxfId="140" priority="5" operator="equal">
      <formula>"Select Machine"</formula>
    </cfRule>
  </conditionalFormatting>
  <conditionalFormatting sqref="C60:C82 E60:F82">
    <cfRule type="containsText" dxfId="139" priority="1" operator="containsText" text="Select Machine">
      <formula>NOT(ISERROR(SEARCH("Select Machine",C60)))</formula>
    </cfRule>
  </conditionalFormatting>
  <conditionalFormatting sqref="G3:G50">
    <cfRule type="containsText" dxfId="138" priority="9" operator="containsText" text="Select Machine">
      <formula>NOT(ISERROR(SEARCH("Select Machine",G3)))</formula>
    </cfRule>
  </conditionalFormatting>
  <conditionalFormatting sqref="G60:G82">
    <cfRule type="cellIs" dxfId="137" priority="2" operator="equal">
      <formula>"Select Machine"</formula>
    </cfRule>
    <cfRule type="containsText" dxfId="136" priority="3" operator="containsText" text="Select Machine">
      <formula>NOT(ISERROR(SEARCH("Select Machine",G60)))</formula>
    </cfRule>
  </conditionalFormatting>
  <conditionalFormatting sqref="H3:K50">
    <cfRule type="containsText" dxfId="135" priority="6" operator="containsText" text="Select Machine">
      <formula>NOT(ISERROR(SEARCH("Select Machine",H3)))</formula>
    </cfRule>
  </conditionalFormatting>
  <conditionalFormatting sqref="K84:K85 A85:J85 A86:K1048576">
    <cfRule type="containsText" dxfId="134" priority="10" operator="containsText" text="Select Machine">
      <formula>NOT(ISERROR(SEARCH("Select Machine",A84)))</formula>
    </cfRule>
  </conditionalFormatting>
  <conditionalFormatting sqref="L1:XFD1048576 A2:K2 A53:K57 A58 A59:K59">
    <cfRule type="containsText" dxfId="133" priority="11" operator="containsText" text="Select Machine">
      <formula>NOT(ISERROR(SEARCH("Select Machine",A1)))</formula>
    </cfRule>
  </conditionalFormatting>
  <conditionalFormatting sqref="L58:XFD58">
    <cfRule type="cellIs" dxfId="132" priority="13" operator="equal">
      <formula>"Select Machine"</formula>
    </cfRule>
  </conditionalFormatting>
  <dataValidations count="9">
    <dataValidation type="list" allowBlank="1" showInputMessage="1" showErrorMessage="1" sqref="J3:J50 J60:J82" xr:uid="{DA23CA6D-44D2-4321-9865-6CEB3DC78AE9}">
      <formula1>Staff</formula1>
    </dataValidation>
    <dataValidation type="list" allowBlank="1" showInputMessage="1" showErrorMessage="1" sqref="A60:A82 A2:A50" xr:uid="{9997BEB8-BCEE-4E36-9460-378F32C38966}">
      <formula1>MachineList</formula1>
    </dataValidation>
    <dataValidation type="list" allowBlank="1" showInputMessage="1" showErrorMessage="1" sqref="K61" xr:uid="{4A2850A7-6E7C-4EB9-8706-9E6403648C20}">
      <formula1>"Conrad,Caroline,Calcea,Cooper,Quinton,Kiran,Lacie,Mahi,Rohan,Jacob,Madison"</formula1>
    </dataValidation>
    <dataValidation allowBlank="1" showInputMessage="1" showErrorMessage="1" sqref="F85:F1048576 F1:F2 F53:F59" xr:uid="{02B3A6AE-4CD8-433F-8A88-FCB1FDCF3009}"/>
    <dataValidation type="list" allowBlank="1" showInputMessage="1" showErrorMessage="1" sqref="J53" xr:uid="{3A6264EC-ECCB-4F79-88F8-BA692378AFF5}">
      <formula1>"Conrad,Spencer,Kiran,Jack Wayne,Morgan"</formula1>
    </dataValidation>
    <dataValidation type="list" allowBlank="1" showInputMessage="1" showErrorMessage="1" sqref="A53 A85" xr:uid="{806E39B0-704C-4549-9F58-470B81C763E1}">
      <formula1>"Prusa,Ultimaker S5,Ultimaker 2+,Raise3D Pro 2 Plus,Markforged Onyx,Form 2, Form 2 Specialty,Plasma,Forest CNC"</formula1>
    </dataValidation>
    <dataValidation type="list" allowBlank="1" showInputMessage="1" showErrorMessage="1" sqref="A59" xr:uid="{14F11F8A-B7FF-4716-B205-FAF06B7AA837}">
      <formula1>"Prusa,Raise3D Pro 2 Plus,Ultimaker S5,Ultimaker 2+,Markforged Onyx,Form 2,Form 2 Specialty"</formula1>
    </dataValidation>
    <dataValidation type="list" allowBlank="1" showInputMessage="1" showErrorMessage="1" sqref="K53 K60:K82 K3:K50" xr:uid="{10DEBB1B-6C19-46C9-9B38-ECB163225638}">
      <formula1>"Open,Closed"</formula1>
    </dataValidation>
    <dataValidation type="whole" allowBlank="1" showInputMessage="1" showErrorMessage="1" sqref="F60:F82 I3:I50 I53 I60:I82 I85 F3:F50" xr:uid="{03B8314D-FE45-4F1C-BEB5-15A5E0CB2A16}">
      <formula1>1</formula1>
      <formula2>99999999999</formula2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CB2D-8273-45F8-B746-2360BFE4D951}">
  <dimension ref="A1:K132"/>
  <sheetViews>
    <sheetView zoomScaleNormal="100" workbookViewId="0">
      <selection activeCell="B18" sqref="B18"/>
    </sheetView>
  </sheetViews>
  <sheetFormatPr defaultColWidth="9.140625" defaultRowHeight="15" customHeight="1"/>
  <cols>
    <col min="1" max="1" width="18.85546875" style="6" bestFit="1" customWidth="1"/>
    <col min="2" max="2" width="10.28515625" style="8" customWidth="1"/>
    <col min="3" max="3" width="15.7109375" style="11" customWidth="1"/>
    <col min="4" max="4" width="11.7109375" style="10" bestFit="1" customWidth="1"/>
    <col min="5" max="5" width="28" style="6" customWidth="1"/>
    <col min="6" max="6" width="14.5703125" style="9" customWidth="1"/>
    <col min="7" max="7" width="23.5703125" style="6" customWidth="1"/>
    <col min="8" max="8" width="23.140625" style="9" customWidth="1"/>
    <col min="9" max="9" width="24.140625" style="9" customWidth="1"/>
    <col min="10" max="10" width="17.5703125" style="9" customWidth="1"/>
    <col min="11" max="11" width="11.5703125" style="9" customWidth="1"/>
    <col min="12" max="16384" width="9.140625" style="6"/>
  </cols>
  <sheetData>
    <row r="1" spans="1:11" ht="24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7" customFormat="1" ht="16.5" thickBot="1">
      <c r="A2" s="31" t="s">
        <v>1</v>
      </c>
      <c r="B2" s="32" t="s">
        <v>2</v>
      </c>
      <c r="C2" s="33" t="s">
        <v>3</v>
      </c>
      <c r="D2" s="34" t="s">
        <v>4</v>
      </c>
      <c r="E2" s="35" t="s">
        <v>5</v>
      </c>
      <c r="F2" s="31" t="s">
        <v>6</v>
      </c>
      <c r="G2" s="35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1" ht="15.75">
      <c r="A3" s="36" t="s">
        <v>12</v>
      </c>
      <c r="B3" s="37">
        <f>_xlfn.XLOOKUP(Log_Atkinson145[[#This Row],[Machine ]], PriceTable[Machine], PriceTable[$/Unit], "")</f>
        <v>0</v>
      </c>
      <c r="C3" s="25"/>
      <c r="D3" s="38" t="str">
        <f>IF(OR(Log_Atkinson145[[#This Row],[Machine ]]="", Log_Atkinson145[[#This Row],[Unit Amount]]=""), "", IFERROR(MAX(Log_Atkinson145[[#This Row],[Unit Amount]] * Log_Atkinson145[[#This Row],[$/Unit]], 3), ""))</f>
        <v/>
      </c>
      <c r="E3" s="23"/>
      <c r="F3" s="24"/>
      <c r="G3" s="25"/>
      <c r="H3" s="26"/>
      <c r="I3" s="24"/>
      <c r="J3" s="24"/>
      <c r="K3" s="24"/>
    </row>
    <row r="4" spans="1:11" ht="15.75">
      <c r="A4" s="36" t="s">
        <v>12</v>
      </c>
      <c r="B4" s="37">
        <f>_xlfn.XLOOKUP(Log_Atkinson145[[#This Row],[Machine ]], PriceTable[Machine], PriceTable[$/Unit], "")</f>
        <v>0</v>
      </c>
      <c r="C4" s="29"/>
      <c r="D4" s="38" t="str">
        <f>IF(OR(Log_Atkinson145[[#This Row],[Machine ]]="", Log_Atkinson145[[#This Row],[Unit Amount]]=""), "", IFERROR(MAX(Log_Atkinson145[[#This Row],[Unit Amount]] * Log_Atkinson145[[#This Row],[$/Unit]], 3), ""))</f>
        <v/>
      </c>
      <c r="E4" s="27"/>
      <c r="F4" s="24"/>
      <c r="G4" s="29"/>
      <c r="H4" s="30"/>
      <c r="I4" s="28"/>
      <c r="J4" s="24"/>
      <c r="K4" s="28"/>
    </row>
    <row r="5" spans="1:11" ht="15.75">
      <c r="A5" s="36" t="s">
        <v>12</v>
      </c>
      <c r="B5" s="39">
        <f>_xlfn.XLOOKUP(Log_Atkinson145[[#This Row],[Machine ]], PriceTable[Machine], PriceTable[$/Unit], "")</f>
        <v>0</v>
      </c>
      <c r="C5" s="25"/>
      <c r="D5" s="38" t="str">
        <f>IF(OR(Log_Atkinson145[[#This Row],[Machine ]]="", Log_Atkinson145[[#This Row],[Unit Amount]]=""), "", IFERROR(MAX(Log_Atkinson145[[#This Row],[Unit Amount]] * Log_Atkinson145[[#This Row],[$/Unit]], 3), ""))</f>
        <v/>
      </c>
      <c r="E5" s="23"/>
      <c r="F5" s="24"/>
      <c r="G5" s="25"/>
      <c r="H5" s="26"/>
      <c r="I5" s="24"/>
      <c r="J5" s="24"/>
      <c r="K5" s="24"/>
    </row>
    <row r="6" spans="1:11" ht="15.75">
      <c r="A6" s="36" t="s">
        <v>12</v>
      </c>
      <c r="B6" s="37">
        <f>_xlfn.XLOOKUP(Log_Atkinson145[[#This Row],[Machine ]], PriceTable[Machine], PriceTable[$/Unit], "")</f>
        <v>0</v>
      </c>
      <c r="C6" s="29"/>
      <c r="D6" s="38" t="str">
        <f>IF(OR(Log_Atkinson145[[#This Row],[Machine ]]="", Log_Atkinson145[[#This Row],[Unit Amount]]=""), "", IFERROR(MAX(Log_Atkinson145[[#This Row],[Unit Amount]] * Log_Atkinson145[[#This Row],[$/Unit]], 3), ""))</f>
        <v/>
      </c>
      <c r="E6" s="27"/>
      <c r="F6" s="24"/>
      <c r="G6" s="29"/>
      <c r="H6" s="30"/>
      <c r="I6" s="28"/>
      <c r="J6" s="24"/>
      <c r="K6" s="28"/>
    </row>
    <row r="7" spans="1:11" ht="15.75">
      <c r="A7" s="36" t="s">
        <v>12</v>
      </c>
      <c r="B7" s="39">
        <f>_xlfn.XLOOKUP(Log_Atkinson145[[#This Row],[Machine ]], PriceTable[Machine], PriceTable[$/Unit], "")</f>
        <v>0</v>
      </c>
      <c r="C7" s="25"/>
      <c r="D7" s="38" t="str">
        <f>IF(OR(Log_Atkinson145[[#This Row],[Machine ]]="", Log_Atkinson145[[#This Row],[Unit Amount]]=""), "", IFERROR(MAX(Log_Atkinson145[[#This Row],[Unit Amount]] * Log_Atkinson145[[#This Row],[$/Unit]], 3), ""))</f>
        <v/>
      </c>
      <c r="E7" s="23"/>
      <c r="F7" s="24"/>
      <c r="G7" s="25"/>
      <c r="H7" s="26"/>
      <c r="I7" s="24"/>
      <c r="J7" s="24"/>
      <c r="K7" s="24"/>
    </row>
    <row r="8" spans="1:11" ht="15.75">
      <c r="A8" s="36" t="s">
        <v>12</v>
      </c>
      <c r="B8" s="37">
        <f>_xlfn.XLOOKUP(Log_Atkinson145[[#This Row],[Machine ]], PriceTable[Machine], PriceTable[$/Unit], "")</f>
        <v>0</v>
      </c>
      <c r="C8" s="29"/>
      <c r="D8" s="38" t="str">
        <f>IF(OR(Log_Atkinson145[[#This Row],[Machine ]]="", Log_Atkinson145[[#This Row],[Unit Amount]]=""), "", IFERROR(MAX(Log_Atkinson145[[#This Row],[Unit Amount]] * Log_Atkinson145[[#This Row],[$/Unit]], 3), ""))</f>
        <v/>
      </c>
      <c r="E8" s="27"/>
      <c r="F8" s="24"/>
      <c r="G8" s="29"/>
      <c r="H8" s="30"/>
      <c r="I8" s="28"/>
      <c r="J8" s="24"/>
      <c r="K8" s="28"/>
    </row>
    <row r="9" spans="1:11" ht="15.75">
      <c r="A9" s="36" t="s">
        <v>12</v>
      </c>
      <c r="B9" s="39">
        <f>_xlfn.XLOOKUP(Log_Atkinson145[[#This Row],[Machine ]], PriceTable[Machine], PriceTable[$/Unit], "")</f>
        <v>0</v>
      </c>
      <c r="C9" s="25"/>
      <c r="D9" s="38" t="str">
        <f>IF(OR(Log_Atkinson145[[#This Row],[Machine ]]="", Log_Atkinson145[[#This Row],[Unit Amount]]=""), "", IFERROR(MAX(Log_Atkinson145[[#This Row],[Unit Amount]] * Log_Atkinson145[[#This Row],[$/Unit]], 3), ""))</f>
        <v/>
      </c>
      <c r="E9" s="23"/>
      <c r="F9" s="24"/>
      <c r="G9" s="25"/>
      <c r="H9" s="26"/>
      <c r="I9" s="24"/>
      <c r="J9" s="24"/>
      <c r="K9" s="24"/>
    </row>
    <row r="10" spans="1:11" ht="15.75">
      <c r="A10" s="36" t="s">
        <v>12</v>
      </c>
      <c r="B10" s="37">
        <f>_xlfn.XLOOKUP(Log_Atkinson145[[#This Row],[Machine ]], PriceTable[Machine], PriceTable[$/Unit], "")</f>
        <v>0</v>
      </c>
      <c r="C10" s="29"/>
      <c r="D10" s="38" t="str">
        <f>IF(OR(Log_Atkinson145[[#This Row],[Machine ]]="", Log_Atkinson145[[#This Row],[Unit Amount]]=""), "", IFERROR(MAX(Log_Atkinson145[[#This Row],[Unit Amount]] * Log_Atkinson145[[#This Row],[$/Unit]], 3), ""))</f>
        <v/>
      </c>
      <c r="E10" s="27"/>
      <c r="F10" s="24"/>
      <c r="G10" s="29"/>
      <c r="H10" s="30"/>
      <c r="I10" s="28"/>
      <c r="J10" s="24"/>
      <c r="K10" s="28"/>
    </row>
    <row r="11" spans="1:11" ht="15.75">
      <c r="A11" s="36" t="s">
        <v>12</v>
      </c>
      <c r="B11" s="39">
        <f>_xlfn.XLOOKUP(Log_Atkinson145[[#This Row],[Machine ]], PriceTable[Machine], PriceTable[$/Unit], "")</f>
        <v>0</v>
      </c>
      <c r="C11" s="25"/>
      <c r="D11" s="38" t="str">
        <f>IF(OR(Log_Atkinson145[[#This Row],[Machine ]]="", Log_Atkinson145[[#This Row],[Unit Amount]]=""), "", IFERROR(MAX(Log_Atkinson145[[#This Row],[Unit Amount]] * Log_Atkinson145[[#This Row],[$/Unit]], 3), ""))</f>
        <v/>
      </c>
      <c r="E11" s="23"/>
      <c r="F11" s="24"/>
      <c r="G11" s="25"/>
      <c r="H11" s="26"/>
      <c r="I11" s="24"/>
      <c r="J11" s="24"/>
      <c r="K11" s="24"/>
    </row>
    <row r="12" spans="1:11" ht="15.75">
      <c r="A12" s="36" t="s">
        <v>12</v>
      </c>
      <c r="B12" s="37">
        <f>_xlfn.XLOOKUP(Log_Atkinson145[[#This Row],[Machine ]], PriceTable[Machine], PriceTable[$/Unit], "")</f>
        <v>0</v>
      </c>
      <c r="C12" s="29"/>
      <c r="D12" s="38" t="str">
        <f>IF(OR(Log_Atkinson145[[#This Row],[Machine ]]="", Log_Atkinson145[[#This Row],[Unit Amount]]=""), "", IFERROR(MAX(Log_Atkinson145[[#This Row],[Unit Amount]] * Log_Atkinson145[[#This Row],[$/Unit]], 3), ""))</f>
        <v/>
      </c>
      <c r="E12" s="27"/>
      <c r="F12" s="24"/>
      <c r="G12" s="29"/>
      <c r="H12" s="30"/>
      <c r="I12" s="28"/>
      <c r="J12" s="24"/>
      <c r="K12" s="28"/>
    </row>
    <row r="13" spans="1:11" ht="15.75">
      <c r="A13" s="36" t="s">
        <v>12</v>
      </c>
      <c r="B13" s="39">
        <f>_xlfn.XLOOKUP(Log_Atkinson145[[#This Row],[Machine ]], PriceTable[Machine], PriceTable[$/Unit], "")</f>
        <v>0</v>
      </c>
      <c r="C13" s="25"/>
      <c r="D13" s="38" t="str">
        <f>IF(OR(Log_Atkinson145[[#This Row],[Machine ]]="", Log_Atkinson145[[#This Row],[Unit Amount]]=""), "", IFERROR(MAX(Log_Atkinson145[[#This Row],[Unit Amount]] * Log_Atkinson145[[#This Row],[$/Unit]], 3), ""))</f>
        <v/>
      </c>
      <c r="E13" s="23"/>
      <c r="F13" s="24"/>
      <c r="G13" s="25"/>
      <c r="H13" s="26"/>
      <c r="I13" s="24"/>
      <c r="J13" s="24"/>
      <c r="K13" s="24"/>
    </row>
    <row r="14" spans="1:11" ht="15.75">
      <c r="A14" s="36" t="s">
        <v>12</v>
      </c>
      <c r="B14" s="37">
        <f>_xlfn.XLOOKUP(Log_Atkinson145[[#This Row],[Machine ]], PriceTable[Machine], PriceTable[$/Unit], "")</f>
        <v>0</v>
      </c>
      <c r="C14" s="29"/>
      <c r="D14" s="38" t="str">
        <f>IF(OR(Log_Atkinson145[[#This Row],[Machine ]]="", Log_Atkinson145[[#This Row],[Unit Amount]]=""), "", IFERROR(MAX(Log_Atkinson145[[#This Row],[Unit Amount]] * Log_Atkinson145[[#This Row],[$/Unit]], 3), ""))</f>
        <v/>
      </c>
      <c r="E14" s="27"/>
      <c r="F14" s="24"/>
      <c r="G14" s="29"/>
      <c r="H14" s="30"/>
      <c r="I14" s="28"/>
      <c r="J14" s="24"/>
      <c r="K14" s="28"/>
    </row>
    <row r="15" spans="1:11" ht="15.75">
      <c r="A15" s="36" t="s">
        <v>12</v>
      </c>
      <c r="B15" s="39">
        <f>_xlfn.XLOOKUP(Log_Atkinson145[[#This Row],[Machine ]], PriceTable[Machine], PriceTable[$/Unit], "")</f>
        <v>0</v>
      </c>
      <c r="C15" s="25"/>
      <c r="D15" s="38" t="str">
        <f>IF(OR(Log_Atkinson145[[#This Row],[Machine ]]="", Log_Atkinson145[[#This Row],[Unit Amount]]=""), "", IFERROR(MAX(Log_Atkinson145[[#This Row],[Unit Amount]] * Log_Atkinson145[[#This Row],[$/Unit]], 3), ""))</f>
        <v/>
      </c>
      <c r="E15" s="23"/>
      <c r="F15" s="24"/>
      <c r="G15" s="25"/>
      <c r="H15" s="26"/>
      <c r="I15" s="24"/>
      <c r="J15" s="24"/>
      <c r="K15" s="24"/>
    </row>
    <row r="16" spans="1:11" ht="15.75">
      <c r="A16" s="36" t="s">
        <v>12</v>
      </c>
      <c r="B16" s="37">
        <f>_xlfn.XLOOKUP(Log_Atkinson145[[#This Row],[Machine ]], PriceTable[Machine], PriceTable[$/Unit], "")</f>
        <v>0</v>
      </c>
      <c r="C16" s="29"/>
      <c r="D16" s="38" t="str">
        <f>IF(OR(Log_Atkinson145[[#This Row],[Machine ]]="", Log_Atkinson145[[#This Row],[Unit Amount]]=""), "", IFERROR(MAX(Log_Atkinson145[[#This Row],[Unit Amount]] * Log_Atkinson145[[#This Row],[$/Unit]], 3), ""))</f>
        <v/>
      </c>
      <c r="E16" s="27"/>
      <c r="F16" s="24"/>
      <c r="G16" s="29"/>
      <c r="H16" s="30"/>
      <c r="I16" s="28"/>
      <c r="J16" s="24"/>
      <c r="K16" s="28"/>
    </row>
    <row r="17" spans="1:11" ht="15.75">
      <c r="A17" s="36" t="s">
        <v>12</v>
      </c>
      <c r="B17" s="39">
        <f>_xlfn.XLOOKUP(Log_Atkinson145[[#This Row],[Machine ]], PriceTable[Machine], PriceTable[$/Unit], "")</f>
        <v>0</v>
      </c>
      <c r="C17" s="25"/>
      <c r="D17" s="38" t="str">
        <f>IF(OR(Log_Atkinson145[[#This Row],[Machine ]]="", Log_Atkinson145[[#This Row],[Unit Amount]]=""), "", IFERROR(MAX(Log_Atkinson145[[#This Row],[Unit Amount]] * Log_Atkinson145[[#This Row],[$/Unit]], 3), ""))</f>
        <v/>
      </c>
      <c r="E17" s="23"/>
      <c r="F17" s="24"/>
      <c r="G17" s="25"/>
      <c r="H17" s="26"/>
      <c r="I17" s="24"/>
      <c r="J17" s="24"/>
      <c r="K17" s="24"/>
    </row>
    <row r="18" spans="1:11" ht="15.75">
      <c r="A18" s="36" t="s">
        <v>12</v>
      </c>
      <c r="B18" s="37">
        <f>_xlfn.XLOOKUP(Log_Atkinson145[[#This Row],[Machine ]], PriceTable[Machine], PriceTable[$/Unit], "")</f>
        <v>0</v>
      </c>
      <c r="C18" s="29"/>
      <c r="D18" s="38" t="str">
        <f>IF(OR(Log_Atkinson145[[#This Row],[Machine ]]="", Log_Atkinson145[[#This Row],[Unit Amount]]=""), "", IFERROR(MAX(Log_Atkinson145[[#This Row],[Unit Amount]] * Log_Atkinson145[[#This Row],[$/Unit]], 3), ""))</f>
        <v/>
      </c>
      <c r="E18" s="27"/>
      <c r="F18" s="24"/>
      <c r="G18" s="29"/>
      <c r="H18" s="30"/>
      <c r="I18" s="28"/>
      <c r="J18" s="24"/>
      <c r="K18" s="28"/>
    </row>
    <row r="19" spans="1:11" ht="15.75">
      <c r="A19" s="36" t="s">
        <v>12</v>
      </c>
      <c r="B19" s="39">
        <f>_xlfn.XLOOKUP(Log_Atkinson145[[#This Row],[Machine ]], PriceTable[Machine], PriceTable[$/Unit], "")</f>
        <v>0</v>
      </c>
      <c r="C19" s="25"/>
      <c r="D19" s="38" t="str">
        <f>IF(OR(Log_Atkinson145[[#This Row],[Machine ]]="", Log_Atkinson145[[#This Row],[Unit Amount]]=""), "", IFERROR(MAX(Log_Atkinson145[[#This Row],[Unit Amount]] * Log_Atkinson145[[#This Row],[$/Unit]], 3), ""))</f>
        <v/>
      </c>
      <c r="E19" s="23"/>
      <c r="F19" s="24"/>
      <c r="G19" s="25"/>
      <c r="H19" s="26"/>
      <c r="I19" s="24"/>
      <c r="J19" s="24"/>
      <c r="K19" s="24"/>
    </row>
    <row r="20" spans="1:11" ht="15.75">
      <c r="A20" s="36" t="s">
        <v>12</v>
      </c>
      <c r="B20" s="37">
        <f>_xlfn.XLOOKUP(Log_Atkinson145[[#This Row],[Machine ]], PriceTable[Machine], PriceTable[$/Unit], "")</f>
        <v>0</v>
      </c>
      <c r="C20" s="29"/>
      <c r="D20" s="38" t="str">
        <f>IF(OR(Log_Atkinson145[[#This Row],[Machine ]]="", Log_Atkinson145[[#This Row],[Unit Amount]]=""), "", IFERROR(MAX(Log_Atkinson145[[#This Row],[Unit Amount]] * Log_Atkinson145[[#This Row],[$/Unit]], 3), ""))</f>
        <v/>
      </c>
      <c r="E20" s="27"/>
      <c r="F20" s="24"/>
      <c r="G20" s="29"/>
      <c r="H20" s="30"/>
      <c r="I20" s="28"/>
      <c r="J20" s="24"/>
      <c r="K20" s="28"/>
    </row>
    <row r="21" spans="1:11" ht="15.75">
      <c r="A21" s="36" t="s">
        <v>12</v>
      </c>
      <c r="B21" s="39">
        <f>_xlfn.XLOOKUP(Log_Atkinson145[[#This Row],[Machine ]], PriceTable[Machine], PriceTable[$/Unit], "")</f>
        <v>0</v>
      </c>
      <c r="C21" s="25"/>
      <c r="D21" s="38" t="str">
        <f>IF(OR(Log_Atkinson145[[#This Row],[Machine ]]="", Log_Atkinson145[[#This Row],[Unit Amount]]=""), "", IFERROR(MAX(Log_Atkinson145[[#This Row],[Unit Amount]] * Log_Atkinson145[[#This Row],[$/Unit]], 3), ""))</f>
        <v/>
      </c>
      <c r="E21" s="23"/>
      <c r="F21" s="24"/>
      <c r="G21" s="25"/>
      <c r="H21" s="26"/>
      <c r="I21" s="24"/>
      <c r="J21" s="24"/>
      <c r="K21" s="24"/>
    </row>
    <row r="22" spans="1:11" ht="15.75">
      <c r="A22" s="36" t="s">
        <v>12</v>
      </c>
      <c r="B22" s="37">
        <f>_xlfn.XLOOKUP(Log_Atkinson145[[#This Row],[Machine ]], PriceTable[Machine], PriceTable[$/Unit], "")</f>
        <v>0</v>
      </c>
      <c r="C22" s="29"/>
      <c r="D22" s="38" t="str">
        <f>IF(OR(Log_Atkinson145[[#This Row],[Machine ]]="", Log_Atkinson145[[#This Row],[Unit Amount]]=""), "", IFERROR(MAX(Log_Atkinson145[[#This Row],[Unit Amount]] * Log_Atkinson145[[#This Row],[$/Unit]], 3), ""))</f>
        <v/>
      </c>
      <c r="E22" s="27"/>
      <c r="F22" s="24"/>
      <c r="G22" s="29"/>
      <c r="H22" s="30"/>
      <c r="I22" s="28"/>
      <c r="J22" s="24"/>
      <c r="K22" s="28"/>
    </row>
    <row r="23" spans="1:11" ht="15.75">
      <c r="A23" s="36" t="s">
        <v>12</v>
      </c>
      <c r="B23" s="39">
        <f>_xlfn.XLOOKUP(Log_Atkinson145[[#This Row],[Machine ]], PriceTable[Machine], PriceTable[$/Unit], "")</f>
        <v>0</v>
      </c>
      <c r="C23" s="25"/>
      <c r="D23" s="38" t="str">
        <f>IF(OR(Log_Atkinson145[[#This Row],[Machine ]]="", Log_Atkinson145[[#This Row],[Unit Amount]]=""), "", IFERROR(MAX(Log_Atkinson145[[#This Row],[Unit Amount]] * Log_Atkinson145[[#This Row],[$/Unit]], 3), ""))</f>
        <v/>
      </c>
      <c r="E23" s="23"/>
      <c r="F23" s="24"/>
      <c r="G23" s="25"/>
      <c r="H23" s="26"/>
      <c r="I23" s="24"/>
      <c r="J23" s="24"/>
      <c r="K23" s="24"/>
    </row>
    <row r="24" spans="1:11" ht="15.75">
      <c r="A24" s="36" t="s">
        <v>12</v>
      </c>
      <c r="B24" s="37">
        <f>_xlfn.XLOOKUP(Log_Atkinson145[[#This Row],[Machine ]], PriceTable[Machine], PriceTable[$/Unit], "")</f>
        <v>0</v>
      </c>
      <c r="C24" s="29"/>
      <c r="D24" s="38" t="str">
        <f>IF(OR(Log_Atkinson145[[#This Row],[Machine ]]="", Log_Atkinson145[[#This Row],[Unit Amount]]=""), "", IFERROR(MAX(Log_Atkinson145[[#This Row],[Unit Amount]] * Log_Atkinson145[[#This Row],[$/Unit]], 3), ""))</f>
        <v/>
      </c>
      <c r="E24" s="27"/>
      <c r="F24" s="24"/>
      <c r="G24" s="29"/>
      <c r="H24" s="30"/>
      <c r="I24" s="28"/>
      <c r="J24" s="24"/>
      <c r="K24" s="28"/>
    </row>
    <row r="25" spans="1:11" ht="15.75">
      <c r="A25" s="36" t="s">
        <v>12</v>
      </c>
      <c r="B25" s="39">
        <f>_xlfn.XLOOKUP(Log_Atkinson145[[#This Row],[Machine ]], PriceTable[Machine], PriceTable[$/Unit], "")</f>
        <v>0</v>
      </c>
      <c r="C25" s="25"/>
      <c r="D25" s="38" t="str">
        <f>IF(OR(Log_Atkinson145[[#This Row],[Machine ]]="", Log_Atkinson145[[#This Row],[Unit Amount]]=""), "", IFERROR(MAX(Log_Atkinson145[[#This Row],[Unit Amount]] * Log_Atkinson145[[#This Row],[$/Unit]], 3), ""))</f>
        <v/>
      </c>
      <c r="E25" s="23"/>
      <c r="F25" s="24"/>
      <c r="G25" s="25"/>
      <c r="H25" s="26"/>
      <c r="I25" s="24"/>
      <c r="J25" s="24"/>
      <c r="K25" s="24"/>
    </row>
    <row r="26" spans="1:11" ht="15.75">
      <c r="A26" s="36" t="s">
        <v>12</v>
      </c>
      <c r="B26" s="37">
        <f>_xlfn.XLOOKUP(Log_Atkinson145[[#This Row],[Machine ]], PriceTable[Machine], PriceTable[$/Unit], "")</f>
        <v>0</v>
      </c>
      <c r="C26" s="29"/>
      <c r="D26" s="38" t="str">
        <f>IF(OR(Log_Atkinson145[[#This Row],[Machine ]]="", Log_Atkinson145[[#This Row],[Unit Amount]]=""), "", IFERROR(MAX(Log_Atkinson145[[#This Row],[Unit Amount]] * Log_Atkinson145[[#This Row],[$/Unit]], 3), ""))</f>
        <v/>
      </c>
      <c r="E26" s="27"/>
      <c r="F26" s="24"/>
      <c r="G26" s="29"/>
      <c r="H26" s="30"/>
      <c r="I26" s="28"/>
      <c r="J26" s="24"/>
      <c r="K26" s="28"/>
    </row>
    <row r="27" spans="1:11" ht="15.75">
      <c r="A27" s="36" t="s">
        <v>12</v>
      </c>
      <c r="B27" s="39">
        <f>_xlfn.XLOOKUP(Log_Atkinson145[[#This Row],[Machine ]], PriceTable[Machine], PriceTable[$/Unit], "")</f>
        <v>0</v>
      </c>
      <c r="C27" s="25"/>
      <c r="D27" s="38" t="str">
        <f>IF(OR(Log_Atkinson145[[#This Row],[Machine ]]="", Log_Atkinson145[[#This Row],[Unit Amount]]=""), "", IFERROR(MAX(Log_Atkinson145[[#This Row],[Unit Amount]] * Log_Atkinson145[[#This Row],[$/Unit]], 3), ""))</f>
        <v/>
      </c>
      <c r="E27" s="23"/>
      <c r="F27" s="24"/>
      <c r="G27" s="25"/>
      <c r="H27" s="26"/>
      <c r="I27" s="24"/>
      <c r="J27" s="24"/>
      <c r="K27" s="24"/>
    </row>
    <row r="28" spans="1:11" ht="15.75">
      <c r="A28" s="36" t="s">
        <v>12</v>
      </c>
      <c r="B28" s="37">
        <f>_xlfn.XLOOKUP(Log_Atkinson145[[#This Row],[Machine ]], PriceTable[Machine], PriceTable[$/Unit], "")</f>
        <v>0</v>
      </c>
      <c r="C28" s="29"/>
      <c r="D28" s="38" t="str">
        <f>IF(OR(Log_Atkinson145[[#This Row],[Machine ]]="", Log_Atkinson145[[#This Row],[Unit Amount]]=""), "", IFERROR(MAX(Log_Atkinson145[[#This Row],[Unit Amount]] * Log_Atkinson145[[#This Row],[$/Unit]], 3), ""))</f>
        <v/>
      </c>
      <c r="E28" s="27"/>
      <c r="F28" s="24"/>
      <c r="G28" s="29"/>
      <c r="H28" s="30"/>
      <c r="I28" s="28"/>
      <c r="J28" s="24"/>
      <c r="K28" s="28"/>
    </row>
    <row r="29" spans="1:11" ht="15.75">
      <c r="A29" s="36" t="s">
        <v>12</v>
      </c>
      <c r="B29" s="39">
        <f>_xlfn.XLOOKUP(Log_Atkinson145[[#This Row],[Machine ]], PriceTable[Machine], PriceTable[$/Unit], "")</f>
        <v>0</v>
      </c>
      <c r="C29" s="25"/>
      <c r="D29" s="38" t="str">
        <f>IF(OR(Log_Atkinson145[[#This Row],[Machine ]]="", Log_Atkinson145[[#This Row],[Unit Amount]]=""), "", IFERROR(MAX(Log_Atkinson145[[#This Row],[Unit Amount]] * Log_Atkinson145[[#This Row],[$/Unit]], 3), ""))</f>
        <v/>
      </c>
      <c r="E29" s="23"/>
      <c r="F29" s="24"/>
      <c r="G29" s="25"/>
      <c r="H29" s="26"/>
      <c r="I29" s="24"/>
      <c r="J29" s="24"/>
      <c r="K29" s="24"/>
    </row>
    <row r="30" spans="1:11" ht="15.75">
      <c r="A30" s="36" t="s">
        <v>12</v>
      </c>
      <c r="B30" s="37">
        <f>_xlfn.XLOOKUP(Log_Atkinson145[[#This Row],[Machine ]], PriceTable[Machine], PriceTable[$/Unit], "")</f>
        <v>0</v>
      </c>
      <c r="C30" s="29"/>
      <c r="D30" s="38" t="str">
        <f>IF(OR(Log_Atkinson145[[#This Row],[Machine ]]="", Log_Atkinson145[[#This Row],[Unit Amount]]=""), "", IFERROR(MAX(Log_Atkinson145[[#This Row],[Unit Amount]] * Log_Atkinson145[[#This Row],[$/Unit]], 3), ""))</f>
        <v/>
      </c>
      <c r="E30" s="27"/>
      <c r="F30" s="24"/>
      <c r="G30" s="29"/>
      <c r="H30" s="30"/>
      <c r="I30" s="28"/>
      <c r="J30" s="24"/>
      <c r="K30" s="28"/>
    </row>
    <row r="31" spans="1:11" ht="15.75">
      <c r="A31" s="36" t="s">
        <v>12</v>
      </c>
      <c r="B31" s="39">
        <f>_xlfn.XLOOKUP(Log_Atkinson145[[#This Row],[Machine ]], PriceTable[Machine], PriceTable[$/Unit], "")</f>
        <v>0</v>
      </c>
      <c r="C31" s="25"/>
      <c r="D31" s="38" t="str">
        <f>IF(OR(Log_Atkinson145[[#This Row],[Machine ]]="", Log_Atkinson145[[#This Row],[Unit Amount]]=""), "", IFERROR(MAX(Log_Atkinson145[[#This Row],[Unit Amount]] * Log_Atkinson145[[#This Row],[$/Unit]], 3), ""))</f>
        <v/>
      </c>
      <c r="E31" s="23"/>
      <c r="F31" s="24"/>
      <c r="G31" s="25"/>
      <c r="H31" s="26"/>
      <c r="I31" s="24"/>
      <c r="J31" s="24"/>
      <c r="K31" s="24"/>
    </row>
    <row r="32" spans="1:11" ht="15.75">
      <c r="A32" s="36" t="s">
        <v>12</v>
      </c>
      <c r="B32" s="37">
        <f>_xlfn.XLOOKUP(Log_Atkinson145[[#This Row],[Machine ]], PriceTable[Machine], PriceTable[$/Unit], "")</f>
        <v>0</v>
      </c>
      <c r="C32" s="29"/>
      <c r="D32" s="38" t="str">
        <f>IF(OR(Log_Atkinson145[[#This Row],[Machine ]]="", Log_Atkinson145[[#This Row],[Unit Amount]]=""), "", IFERROR(MAX(Log_Atkinson145[[#This Row],[Unit Amount]] * Log_Atkinson145[[#This Row],[$/Unit]], 3), ""))</f>
        <v/>
      </c>
      <c r="E32" s="27"/>
      <c r="F32" s="24"/>
      <c r="G32" s="29"/>
      <c r="H32" s="30"/>
      <c r="I32" s="28"/>
      <c r="J32" s="24"/>
      <c r="K32" s="28"/>
    </row>
    <row r="33" spans="1:11" ht="15.75">
      <c r="A33" s="36" t="s">
        <v>12</v>
      </c>
      <c r="B33" s="39">
        <f>_xlfn.XLOOKUP(Log_Atkinson145[[#This Row],[Machine ]], PriceTable[Machine], PriceTable[$/Unit], "")</f>
        <v>0</v>
      </c>
      <c r="C33" s="25"/>
      <c r="D33" s="38" t="str">
        <f>IF(OR(Log_Atkinson145[[#This Row],[Machine ]]="", Log_Atkinson145[[#This Row],[Unit Amount]]=""), "", IFERROR(MAX(Log_Atkinson145[[#This Row],[Unit Amount]] * Log_Atkinson145[[#This Row],[$/Unit]], 3), ""))</f>
        <v/>
      </c>
      <c r="E33" s="23"/>
      <c r="F33" s="24"/>
      <c r="G33" s="25"/>
      <c r="H33" s="26"/>
      <c r="I33" s="24"/>
      <c r="J33" s="24"/>
      <c r="K33" s="24"/>
    </row>
    <row r="34" spans="1:11" ht="15.75">
      <c r="A34" s="36" t="s">
        <v>12</v>
      </c>
      <c r="B34" s="37">
        <f>_xlfn.XLOOKUP(Log_Atkinson145[[#This Row],[Machine ]], PriceTable[Machine], PriceTable[$/Unit], "")</f>
        <v>0</v>
      </c>
      <c r="C34" s="29"/>
      <c r="D34" s="38" t="str">
        <f>IF(OR(Log_Atkinson145[[#This Row],[Machine ]]="", Log_Atkinson145[[#This Row],[Unit Amount]]=""), "", IFERROR(MAX(Log_Atkinson145[[#This Row],[Unit Amount]] * Log_Atkinson145[[#This Row],[$/Unit]], 3), ""))</f>
        <v/>
      </c>
      <c r="E34" s="27"/>
      <c r="F34" s="24"/>
      <c r="G34" s="29"/>
      <c r="H34" s="30"/>
      <c r="I34" s="28"/>
      <c r="J34" s="24"/>
      <c r="K34" s="28"/>
    </row>
    <row r="35" spans="1:11" ht="15.75">
      <c r="A35" s="36" t="s">
        <v>12</v>
      </c>
      <c r="B35" s="39">
        <f>_xlfn.XLOOKUP(Log_Atkinson145[[#This Row],[Machine ]], PriceTable[Machine], PriceTable[$/Unit], "")</f>
        <v>0</v>
      </c>
      <c r="C35" s="25"/>
      <c r="D35" s="38" t="str">
        <f>IF(OR(Log_Atkinson145[[#This Row],[Machine ]]="", Log_Atkinson145[[#This Row],[Unit Amount]]=""), "", IFERROR(MAX(Log_Atkinson145[[#This Row],[Unit Amount]] * Log_Atkinson145[[#This Row],[$/Unit]], 3), ""))</f>
        <v/>
      </c>
      <c r="E35" s="23"/>
      <c r="F35" s="24"/>
      <c r="G35" s="25"/>
      <c r="H35" s="26"/>
      <c r="I35" s="24"/>
      <c r="J35" s="24"/>
      <c r="K35" s="24"/>
    </row>
    <row r="36" spans="1:11" ht="15.75">
      <c r="A36" s="36" t="s">
        <v>12</v>
      </c>
      <c r="B36" s="37">
        <f>_xlfn.XLOOKUP(Log_Atkinson145[[#This Row],[Machine ]], PriceTable[Machine], PriceTable[$/Unit], "")</f>
        <v>0</v>
      </c>
      <c r="C36" s="29"/>
      <c r="D36" s="38" t="str">
        <f>IF(OR(Log_Atkinson145[[#This Row],[Machine ]]="", Log_Atkinson145[[#This Row],[Unit Amount]]=""), "", IFERROR(MAX(Log_Atkinson145[[#This Row],[Unit Amount]] * Log_Atkinson145[[#This Row],[$/Unit]], 3), ""))</f>
        <v/>
      </c>
      <c r="E36" s="27"/>
      <c r="F36" s="24"/>
      <c r="G36" s="29"/>
      <c r="H36" s="30"/>
      <c r="I36" s="28"/>
      <c r="J36" s="24"/>
      <c r="K36" s="28"/>
    </row>
    <row r="37" spans="1:11" ht="15.75">
      <c r="A37" s="36" t="s">
        <v>12</v>
      </c>
      <c r="B37" s="39">
        <f>_xlfn.XLOOKUP(Log_Atkinson145[[#This Row],[Machine ]], PriceTable[Machine], PriceTable[$/Unit], "")</f>
        <v>0</v>
      </c>
      <c r="C37" s="25"/>
      <c r="D37" s="38" t="str">
        <f>IF(OR(Log_Atkinson145[[#This Row],[Machine ]]="", Log_Atkinson145[[#This Row],[Unit Amount]]=""), "", IFERROR(MAX(Log_Atkinson145[[#This Row],[Unit Amount]] * Log_Atkinson145[[#This Row],[$/Unit]], 3), ""))</f>
        <v/>
      </c>
      <c r="E37" s="23"/>
      <c r="F37" s="24"/>
      <c r="G37" s="25"/>
      <c r="H37" s="26"/>
      <c r="I37" s="24"/>
      <c r="J37" s="24"/>
      <c r="K37" s="24"/>
    </row>
    <row r="38" spans="1:11" ht="15.75">
      <c r="A38" s="36" t="s">
        <v>12</v>
      </c>
      <c r="B38" s="37">
        <f>_xlfn.XLOOKUP(Log_Atkinson145[[#This Row],[Machine ]], PriceTable[Machine], PriceTable[$/Unit], "")</f>
        <v>0</v>
      </c>
      <c r="C38" s="29"/>
      <c r="D38" s="38" t="str">
        <f>IF(OR(Log_Atkinson145[[#This Row],[Machine ]]="", Log_Atkinson145[[#This Row],[Unit Amount]]=""), "", IFERROR(MAX(Log_Atkinson145[[#This Row],[Unit Amount]] * Log_Atkinson145[[#This Row],[$/Unit]], 3), ""))</f>
        <v/>
      </c>
      <c r="E38" s="27"/>
      <c r="F38" s="24"/>
      <c r="G38" s="29"/>
      <c r="H38" s="30"/>
      <c r="I38" s="28"/>
      <c r="J38" s="24"/>
      <c r="K38" s="28"/>
    </row>
    <row r="39" spans="1:11" ht="15.75">
      <c r="A39" s="36" t="s">
        <v>12</v>
      </c>
      <c r="B39" s="39">
        <f>_xlfn.XLOOKUP(Log_Atkinson145[[#This Row],[Machine ]], PriceTable[Machine], PriceTable[$/Unit], "")</f>
        <v>0</v>
      </c>
      <c r="C39" s="25"/>
      <c r="D39" s="38" t="str">
        <f>IF(OR(Log_Atkinson145[[#This Row],[Machine ]]="", Log_Atkinson145[[#This Row],[Unit Amount]]=""), "", IFERROR(MAX(Log_Atkinson145[[#This Row],[Unit Amount]] * Log_Atkinson145[[#This Row],[$/Unit]], 3), ""))</f>
        <v/>
      </c>
      <c r="E39" s="23"/>
      <c r="F39" s="24"/>
      <c r="G39" s="25"/>
      <c r="H39" s="26"/>
      <c r="I39" s="24"/>
      <c r="J39" s="24"/>
      <c r="K39" s="24"/>
    </row>
    <row r="40" spans="1:11" ht="15.75">
      <c r="A40" s="36" t="s">
        <v>12</v>
      </c>
      <c r="B40" s="37">
        <f>_xlfn.XLOOKUP(Log_Atkinson145[[#This Row],[Machine ]], PriceTable[Machine], PriceTable[$/Unit], "")</f>
        <v>0</v>
      </c>
      <c r="C40" s="29"/>
      <c r="D40" s="38" t="str">
        <f>IF(OR(Log_Atkinson145[[#This Row],[Machine ]]="", Log_Atkinson145[[#This Row],[Unit Amount]]=""), "", IFERROR(MAX(Log_Atkinson145[[#This Row],[Unit Amount]] * Log_Atkinson145[[#This Row],[$/Unit]], 3), ""))</f>
        <v/>
      </c>
      <c r="E40" s="27"/>
      <c r="F40" s="24"/>
      <c r="G40" s="29"/>
      <c r="H40" s="30"/>
      <c r="I40" s="28"/>
      <c r="J40" s="24"/>
      <c r="K40" s="28"/>
    </row>
    <row r="41" spans="1:11" ht="15.75">
      <c r="A41" s="36" t="s">
        <v>12</v>
      </c>
      <c r="B41" s="39">
        <f>_xlfn.XLOOKUP(Log_Atkinson145[[#This Row],[Machine ]], PriceTable[Machine], PriceTable[$/Unit], "")</f>
        <v>0</v>
      </c>
      <c r="C41" s="25"/>
      <c r="D41" s="38" t="str">
        <f>IF(OR(Log_Atkinson145[[#This Row],[Machine ]]="", Log_Atkinson145[[#This Row],[Unit Amount]]=""), "", IFERROR(MAX(Log_Atkinson145[[#This Row],[Unit Amount]] * Log_Atkinson145[[#This Row],[$/Unit]], 3), ""))</f>
        <v/>
      </c>
      <c r="E41" s="23"/>
      <c r="F41" s="24"/>
      <c r="G41" s="25"/>
      <c r="H41" s="26"/>
      <c r="I41" s="24"/>
      <c r="J41" s="24"/>
      <c r="K41" s="24"/>
    </row>
    <row r="42" spans="1:11" ht="15.75">
      <c r="A42" s="36" t="s">
        <v>12</v>
      </c>
      <c r="B42" s="37">
        <f>_xlfn.XLOOKUP(Log_Atkinson145[[#This Row],[Machine ]], PriceTable[Machine], PriceTable[$/Unit], "")</f>
        <v>0</v>
      </c>
      <c r="C42" s="29"/>
      <c r="D42" s="38" t="str">
        <f>IF(OR(Log_Atkinson145[[#This Row],[Machine ]]="", Log_Atkinson145[[#This Row],[Unit Amount]]=""), "", IFERROR(MAX(Log_Atkinson145[[#This Row],[Unit Amount]] * Log_Atkinson145[[#This Row],[$/Unit]], 3), ""))</f>
        <v/>
      </c>
      <c r="E42" s="27"/>
      <c r="F42" s="24"/>
      <c r="G42" s="29"/>
      <c r="H42" s="30"/>
      <c r="I42" s="28"/>
      <c r="J42" s="24"/>
      <c r="K42" s="28"/>
    </row>
    <row r="43" spans="1:11" ht="15.75">
      <c r="A43" s="36" t="s">
        <v>12</v>
      </c>
      <c r="B43" s="39">
        <f>_xlfn.XLOOKUP(Log_Atkinson145[[#This Row],[Machine ]], PriceTable[Machine], PriceTable[$/Unit], "")</f>
        <v>0</v>
      </c>
      <c r="C43" s="25"/>
      <c r="D43" s="38" t="str">
        <f>IF(OR(Log_Atkinson145[[#This Row],[Machine ]]="", Log_Atkinson145[[#This Row],[Unit Amount]]=""), "", IFERROR(MAX(Log_Atkinson145[[#This Row],[Unit Amount]] * Log_Atkinson145[[#This Row],[$/Unit]], 3), ""))</f>
        <v/>
      </c>
      <c r="E43" s="23"/>
      <c r="F43" s="24"/>
      <c r="G43" s="25"/>
      <c r="H43" s="26"/>
      <c r="I43" s="24"/>
      <c r="J43" s="24"/>
      <c r="K43" s="24"/>
    </row>
    <row r="44" spans="1:11" ht="15.75">
      <c r="A44" s="36" t="s">
        <v>12</v>
      </c>
      <c r="B44" s="37">
        <f>_xlfn.XLOOKUP(Log_Atkinson145[[#This Row],[Machine ]], PriceTable[Machine], PriceTable[$/Unit], "")</f>
        <v>0</v>
      </c>
      <c r="C44" s="29"/>
      <c r="D44" s="38" t="str">
        <f>IF(OR(Log_Atkinson145[[#This Row],[Machine ]]="", Log_Atkinson145[[#This Row],[Unit Amount]]=""), "", IFERROR(MAX(Log_Atkinson145[[#This Row],[Unit Amount]] * Log_Atkinson145[[#This Row],[$/Unit]], 3), ""))</f>
        <v/>
      </c>
      <c r="E44" s="27"/>
      <c r="F44" s="24"/>
      <c r="G44" s="29"/>
      <c r="H44" s="30"/>
      <c r="I44" s="28"/>
      <c r="J44" s="24"/>
      <c r="K44" s="28"/>
    </row>
    <row r="45" spans="1:11" ht="15.75">
      <c r="A45" s="36" t="s">
        <v>12</v>
      </c>
      <c r="B45" s="39">
        <f>_xlfn.XLOOKUP(Log_Atkinson145[[#This Row],[Machine ]], PriceTable[Machine], PriceTable[$/Unit], "")</f>
        <v>0</v>
      </c>
      <c r="C45" s="25"/>
      <c r="D45" s="38" t="str">
        <f>IF(OR(Log_Atkinson145[[#This Row],[Machine ]]="", Log_Atkinson145[[#This Row],[Unit Amount]]=""), "", IFERROR(MAX(Log_Atkinson145[[#This Row],[Unit Amount]] * Log_Atkinson145[[#This Row],[$/Unit]], 3), ""))</f>
        <v/>
      </c>
      <c r="E45" s="23"/>
      <c r="F45" s="24" t="s">
        <v>284</v>
      </c>
      <c r="G45" s="25"/>
      <c r="H45" s="26"/>
      <c r="I45" s="24"/>
      <c r="J45" s="24"/>
      <c r="K45" s="24"/>
    </row>
    <row r="46" spans="1:11" ht="15.75">
      <c r="A46" s="36" t="s">
        <v>12</v>
      </c>
      <c r="B46" s="37">
        <f>_xlfn.XLOOKUP(Log_Atkinson145[[#This Row],[Machine ]], PriceTable[Machine], PriceTable[$/Unit], "")</f>
        <v>0</v>
      </c>
      <c r="C46" s="29"/>
      <c r="D46" s="38" t="str">
        <f>IF(OR(Log_Atkinson145[[#This Row],[Machine ]]="", Log_Atkinson145[[#This Row],[Unit Amount]]=""), "", IFERROR(MAX(Log_Atkinson145[[#This Row],[Unit Amount]] * Log_Atkinson145[[#This Row],[$/Unit]], 3), ""))</f>
        <v/>
      </c>
      <c r="E46" s="27"/>
      <c r="F46" s="24"/>
      <c r="G46" s="29"/>
      <c r="H46" s="30"/>
      <c r="I46" s="28"/>
      <c r="J46" s="24"/>
      <c r="K46" s="28"/>
    </row>
    <row r="47" spans="1:11" ht="15.75">
      <c r="A47" s="36" t="s">
        <v>12</v>
      </c>
      <c r="B47" s="39">
        <f>_xlfn.XLOOKUP(Log_Atkinson145[[#This Row],[Machine ]], PriceTable[Machine], PriceTable[$/Unit], "")</f>
        <v>0</v>
      </c>
      <c r="C47" s="25"/>
      <c r="D47" s="38" t="str">
        <f>IF(OR(Log_Atkinson145[[#This Row],[Machine ]]="", Log_Atkinson145[[#This Row],[Unit Amount]]=""), "", IFERROR(MAX(Log_Atkinson145[[#This Row],[Unit Amount]] * Log_Atkinson145[[#This Row],[$/Unit]], 3), ""))</f>
        <v/>
      </c>
      <c r="E47" s="23"/>
      <c r="F47" s="24"/>
      <c r="G47" s="25"/>
      <c r="H47" s="26"/>
      <c r="I47" s="24"/>
      <c r="J47" s="24"/>
      <c r="K47" s="24"/>
    </row>
    <row r="48" spans="1:11" ht="15.75">
      <c r="A48" s="36" t="s">
        <v>12</v>
      </c>
      <c r="B48" s="37">
        <f>_xlfn.XLOOKUP(Log_Atkinson145[[#This Row],[Machine ]], PriceTable[Machine], PriceTable[$/Unit], "")</f>
        <v>0</v>
      </c>
      <c r="C48" s="29"/>
      <c r="D48" s="38" t="str">
        <f>IF(OR(Log_Atkinson145[[#This Row],[Machine ]]="", Log_Atkinson145[[#This Row],[Unit Amount]]=""), "", IFERROR(MAX(Log_Atkinson145[[#This Row],[Unit Amount]] * Log_Atkinson145[[#This Row],[$/Unit]], 3), ""))</f>
        <v/>
      </c>
      <c r="E48" s="27"/>
      <c r="F48" s="24"/>
      <c r="G48" s="29"/>
      <c r="H48" s="30"/>
      <c r="I48" s="28"/>
      <c r="J48" s="24"/>
      <c r="K48" s="28"/>
    </row>
    <row r="49" spans="1:11" ht="15.75">
      <c r="A49" s="36" t="s">
        <v>12</v>
      </c>
      <c r="B49" s="39">
        <f>_xlfn.XLOOKUP(Log_Atkinson145[[#This Row],[Machine ]], PriceTable[Machine], PriceTable[$/Unit], "")</f>
        <v>0</v>
      </c>
      <c r="C49" s="25"/>
      <c r="D49" s="38" t="str">
        <f>IF(OR(Log_Atkinson145[[#This Row],[Machine ]]="", Log_Atkinson145[[#This Row],[Unit Amount]]=""), "", IFERROR(MAX(Log_Atkinson145[[#This Row],[Unit Amount]] * Log_Atkinson145[[#This Row],[$/Unit]], 3), ""))</f>
        <v/>
      </c>
      <c r="E49" s="23"/>
      <c r="F49" s="24"/>
      <c r="G49" s="25"/>
      <c r="H49" s="26"/>
      <c r="I49" s="24"/>
      <c r="J49" s="24"/>
      <c r="K49" s="24"/>
    </row>
    <row r="50" spans="1:11" ht="15.75">
      <c r="A50" s="36" t="s">
        <v>12</v>
      </c>
      <c r="B50" s="39">
        <f>_xlfn.XLOOKUP(Log_Atkinson145[[#This Row],[Machine ]], PriceTable[Machine], PriceTable[$/Unit], "")</f>
        <v>0</v>
      </c>
      <c r="C50" s="25"/>
      <c r="D50" s="38" t="str">
        <f>IF(OR(Log_Atkinson145[[#This Row],[Machine ]]="", Log_Atkinson145[[#This Row],[Unit Amount]]=""), "", IFERROR(MAX(Log_Atkinson145[[#This Row],[Unit Amount]] * Log_Atkinson145[[#This Row],[$/Unit]], 3), ""))</f>
        <v/>
      </c>
      <c r="E50" s="23"/>
      <c r="F50" s="24"/>
      <c r="G50" s="25"/>
      <c r="H50" s="26"/>
      <c r="I50" s="24"/>
      <c r="J50" s="24"/>
      <c r="K50" s="24"/>
    </row>
    <row r="51" spans="1:11" ht="15.75" customHeight="1">
      <c r="A51" s="36" t="s">
        <v>12</v>
      </c>
      <c r="B51" s="37">
        <f>_xlfn.XLOOKUP(Log_Atkinson145[[#This Row],[Machine ]], PriceTable[Machine], PriceTable[$/Unit], "")</f>
        <v>0</v>
      </c>
      <c r="C51" s="25"/>
      <c r="D51" s="38" t="str">
        <f>IF(OR(Log_Atkinson145[[#This Row],[Machine ]]="", Log_Atkinson145[[#This Row],[Unit Amount]]=""), "", IFERROR(MAX(Log_Atkinson145[[#This Row],[Unit Amount]] * Log_Atkinson145[[#This Row],[$/Unit]], 3), ""))</f>
        <v/>
      </c>
      <c r="E51" s="23"/>
      <c r="F51" s="24"/>
      <c r="G51" s="25"/>
      <c r="H51" s="26"/>
      <c r="I51" s="24"/>
      <c r="J51" s="24"/>
      <c r="K51" s="24"/>
    </row>
    <row r="52" spans="1:11" ht="15.75">
      <c r="A52" s="36" t="s">
        <v>12</v>
      </c>
      <c r="B52" s="37">
        <f>_xlfn.XLOOKUP(Log_Atkinson145[[#This Row],[Machine ]], PriceTable[Machine], PriceTable[$/Unit], "")</f>
        <v>0</v>
      </c>
      <c r="C52" s="29"/>
      <c r="D52" s="38" t="str">
        <f>IF(OR(Log_Atkinson145[[#This Row],[Machine ]]="", Log_Atkinson145[[#This Row],[Unit Amount]]=""), "", IFERROR(MAX(Log_Atkinson145[[#This Row],[Unit Amount]] * Log_Atkinson145[[#This Row],[$/Unit]], 3), ""))</f>
        <v/>
      </c>
      <c r="E52" s="27"/>
      <c r="F52" s="24"/>
      <c r="G52" s="29"/>
      <c r="H52" s="30"/>
      <c r="I52" s="28"/>
      <c r="J52" s="24"/>
      <c r="K52" s="28"/>
    </row>
    <row r="53" spans="1:11" ht="15.75">
      <c r="A53" s="36" t="s">
        <v>12</v>
      </c>
      <c r="B53" s="39">
        <f>_xlfn.XLOOKUP(Log_Atkinson145[[#This Row],[Machine ]], PriceTable[Machine], PriceTable[$/Unit], "")</f>
        <v>0</v>
      </c>
      <c r="C53" s="25"/>
      <c r="D53" s="38" t="str">
        <f>IF(OR(Log_Atkinson145[[#This Row],[Machine ]]="", Log_Atkinson145[[#This Row],[Unit Amount]]=""), "", IFERROR(MAX(Log_Atkinson145[[#This Row],[Unit Amount]] * Log_Atkinson145[[#This Row],[$/Unit]], 3), ""))</f>
        <v/>
      </c>
      <c r="E53" s="23"/>
      <c r="F53" s="24"/>
      <c r="G53" s="25"/>
      <c r="H53" s="26"/>
      <c r="I53" s="24"/>
      <c r="J53" s="24"/>
      <c r="K53" s="24"/>
    </row>
    <row r="54" spans="1:11" ht="15.75">
      <c r="A54" s="36" t="s">
        <v>12</v>
      </c>
      <c r="B54" s="37">
        <f>_xlfn.XLOOKUP(Log_Atkinson145[[#This Row],[Machine ]], PriceTable[Machine], PriceTable[$/Unit], "")</f>
        <v>0</v>
      </c>
      <c r="C54" s="29"/>
      <c r="D54" s="38" t="str">
        <f>IF(OR(Log_Atkinson145[[#This Row],[Machine ]]="", Log_Atkinson145[[#This Row],[Unit Amount]]=""), "", IFERROR(MAX(Log_Atkinson145[[#This Row],[Unit Amount]] * Log_Atkinson145[[#This Row],[$/Unit]], 3), ""))</f>
        <v/>
      </c>
      <c r="E54" s="27"/>
      <c r="F54" s="24"/>
      <c r="G54" s="29"/>
      <c r="H54" s="30"/>
      <c r="I54" s="28"/>
      <c r="J54" s="24"/>
      <c r="K54" s="28"/>
    </row>
    <row r="55" spans="1:11" ht="15.75" customHeight="1">
      <c r="A55" s="36" t="s">
        <v>12</v>
      </c>
      <c r="B55" s="39">
        <f>_xlfn.XLOOKUP(Log_Atkinson145[[#This Row],[Machine ]], PriceTable[Machine], PriceTable[$/Unit], "")</f>
        <v>0</v>
      </c>
      <c r="C55" s="25"/>
      <c r="D55" s="38" t="str">
        <f>IF(OR(Log_Atkinson145[[#This Row],[Machine ]]="", Log_Atkinson145[[#This Row],[Unit Amount]]=""), "", IFERROR(MAX(Log_Atkinson145[[#This Row],[Unit Amount]] * Log_Atkinson145[[#This Row],[$/Unit]], 3), ""))</f>
        <v/>
      </c>
      <c r="E55" s="23"/>
      <c r="F55" s="24"/>
      <c r="G55" s="25"/>
      <c r="H55" s="26"/>
      <c r="I55" s="24"/>
      <c r="J55" s="24"/>
      <c r="K55" s="24"/>
    </row>
    <row r="56" spans="1:11" ht="15.75">
      <c r="A56" s="36" t="s">
        <v>12</v>
      </c>
      <c r="B56" s="37">
        <f>_xlfn.XLOOKUP(Log_Atkinson145[[#This Row],[Machine ]], PriceTable[Machine], PriceTable[$/Unit], "")</f>
        <v>0</v>
      </c>
      <c r="C56" s="29"/>
      <c r="D56" s="38" t="str">
        <f>IF(OR(Log_Atkinson145[[#This Row],[Machine ]]="", Log_Atkinson145[[#This Row],[Unit Amount]]=""), "", IFERROR(MAX(Log_Atkinson145[[#This Row],[Unit Amount]] * Log_Atkinson145[[#This Row],[$/Unit]], 3), ""))</f>
        <v/>
      </c>
      <c r="E56" s="27"/>
      <c r="F56" s="24"/>
      <c r="G56" s="29"/>
      <c r="H56" s="30"/>
      <c r="I56" s="28"/>
      <c r="J56" s="24"/>
      <c r="K56" s="28"/>
    </row>
    <row r="57" spans="1:11" ht="11.25" customHeight="1">
      <c r="A57" s="36" t="s">
        <v>12</v>
      </c>
      <c r="B57" s="39">
        <f>_xlfn.XLOOKUP(Log_Atkinson145[[#This Row],[Machine ]], PriceTable[Machine], PriceTable[$/Unit], "")</f>
        <v>0</v>
      </c>
      <c r="C57" s="25"/>
      <c r="D57" s="38" t="str">
        <f>IF(OR(Log_Atkinson145[[#This Row],[Machine ]]="", Log_Atkinson145[[#This Row],[Unit Amount]]=""), "", IFERROR(MAX(Log_Atkinson145[[#This Row],[Unit Amount]] * Log_Atkinson145[[#This Row],[$/Unit]], 3), ""))</f>
        <v/>
      </c>
      <c r="E57" s="23"/>
      <c r="F57" s="24"/>
      <c r="G57" s="25"/>
      <c r="H57" s="26"/>
      <c r="I57" s="24"/>
      <c r="J57" s="24"/>
      <c r="K57" s="24"/>
    </row>
    <row r="58" spans="1:11" ht="15.75">
      <c r="A58" s="36" t="s">
        <v>12</v>
      </c>
      <c r="B58" s="37">
        <f>_xlfn.XLOOKUP(Log_Atkinson145[[#This Row],[Machine ]], PriceTable[Machine], PriceTable[$/Unit], "")</f>
        <v>0</v>
      </c>
      <c r="C58" s="29"/>
      <c r="D58" s="38" t="str">
        <f>IF(OR(Log_Atkinson145[[#This Row],[Machine ]]="", Log_Atkinson145[[#This Row],[Unit Amount]]=""), "", IFERROR(MAX(Log_Atkinson145[[#This Row],[Unit Amount]] * Log_Atkinson145[[#This Row],[$/Unit]], 3), ""))</f>
        <v/>
      </c>
      <c r="E58" s="27"/>
      <c r="F58" s="24"/>
      <c r="G58" s="29"/>
      <c r="H58" s="30"/>
      <c r="I58" s="28"/>
      <c r="J58" s="24"/>
      <c r="K58" s="28"/>
    </row>
    <row r="59" spans="1:11" ht="15.75">
      <c r="A59" s="36" t="s">
        <v>12</v>
      </c>
      <c r="B59" s="39">
        <f>_xlfn.XLOOKUP(Log_Atkinson145[[#This Row],[Machine ]], PriceTable[Machine], PriceTable[$/Unit], "")</f>
        <v>0</v>
      </c>
      <c r="C59" s="25"/>
      <c r="D59" s="38" t="str">
        <f>IF(OR(Log_Atkinson145[[#This Row],[Machine ]]="", Log_Atkinson145[[#This Row],[Unit Amount]]=""), "", IFERROR(MAX(Log_Atkinson145[[#This Row],[Unit Amount]] * Log_Atkinson145[[#This Row],[$/Unit]], 3), ""))</f>
        <v/>
      </c>
      <c r="E59" s="23"/>
      <c r="F59" s="24"/>
      <c r="G59" s="25"/>
      <c r="H59" s="26"/>
      <c r="I59" s="24"/>
      <c r="J59" s="24"/>
      <c r="K59" s="24"/>
    </row>
    <row r="60" spans="1:11" ht="15.75">
      <c r="A60" s="36" t="s">
        <v>12</v>
      </c>
      <c r="B60" s="37">
        <f>_xlfn.XLOOKUP(Log_Atkinson145[[#This Row],[Machine ]], PriceTable[Machine], PriceTable[$/Unit], "")</f>
        <v>0</v>
      </c>
      <c r="C60" s="29"/>
      <c r="D60" s="38" t="str">
        <f>IF(OR(Log_Atkinson145[[#This Row],[Machine ]]="", Log_Atkinson145[[#This Row],[Unit Amount]]=""), "", IFERROR(MAX(Log_Atkinson145[[#This Row],[Unit Amount]] * Log_Atkinson145[[#This Row],[$/Unit]], 3), ""))</f>
        <v/>
      </c>
      <c r="E60" s="27"/>
      <c r="F60" s="24"/>
      <c r="G60" s="29"/>
      <c r="H60" s="30"/>
      <c r="I60" s="28"/>
      <c r="J60" s="24"/>
      <c r="K60" s="28"/>
    </row>
    <row r="61" spans="1:11" ht="15.75">
      <c r="A61" s="36" t="s">
        <v>12</v>
      </c>
      <c r="B61" s="39">
        <f>_xlfn.XLOOKUP(Log_Atkinson145[[#This Row],[Machine ]], PriceTable[Machine], PriceTable[$/Unit], "")</f>
        <v>0</v>
      </c>
      <c r="C61" s="25"/>
      <c r="D61" s="38" t="str">
        <f>IF(OR(Log_Atkinson145[[#This Row],[Machine ]]="", Log_Atkinson145[[#This Row],[Unit Amount]]=""), "", IFERROR(MAX(Log_Atkinson145[[#This Row],[Unit Amount]] * Log_Atkinson145[[#This Row],[$/Unit]], 3), ""))</f>
        <v/>
      </c>
      <c r="E61" s="23"/>
      <c r="F61" s="24"/>
      <c r="G61" s="25"/>
      <c r="H61" s="26"/>
      <c r="I61" s="24"/>
      <c r="J61" s="24"/>
      <c r="K61" s="24"/>
    </row>
    <row r="62" spans="1:11" ht="15.75">
      <c r="A62" s="36" t="s">
        <v>12</v>
      </c>
      <c r="B62" s="37">
        <f>_xlfn.XLOOKUP(Log_Atkinson145[[#This Row],[Machine ]], PriceTable[Machine], PriceTable[$/Unit], "")</f>
        <v>0</v>
      </c>
      <c r="C62" s="29"/>
      <c r="D62" s="38" t="str">
        <f>IF(OR(Log_Atkinson145[[#This Row],[Machine ]]="", Log_Atkinson145[[#This Row],[Unit Amount]]=""), "", IFERROR(MAX(Log_Atkinson145[[#This Row],[Unit Amount]] * Log_Atkinson145[[#This Row],[$/Unit]], 3), ""))</f>
        <v/>
      </c>
      <c r="E62" s="27"/>
      <c r="F62" s="24"/>
      <c r="G62" s="29"/>
      <c r="H62" s="30"/>
      <c r="I62" s="28"/>
      <c r="J62" s="24"/>
      <c r="K62" s="28"/>
    </row>
    <row r="63" spans="1:11" ht="15.75">
      <c r="A63" s="36" t="s">
        <v>12</v>
      </c>
      <c r="B63" s="39">
        <f>_xlfn.XLOOKUP(Log_Atkinson145[[#This Row],[Machine ]], PriceTable[Machine], PriceTable[$/Unit], "")</f>
        <v>0</v>
      </c>
      <c r="C63" s="25"/>
      <c r="D63" s="38" t="str">
        <f>IF(OR(Log_Atkinson145[[#This Row],[Machine ]]="", Log_Atkinson145[[#This Row],[Unit Amount]]=""), "", IFERROR(MAX(Log_Atkinson145[[#This Row],[Unit Amount]] * Log_Atkinson145[[#This Row],[$/Unit]], 3), ""))</f>
        <v/>
      </c>
      <c r="E63" s="23"/>
      <c r="F63" s="24"/>
      <c r="G63" s="25"/>
      <c r="H63" s="26"/>
      <c r="I63" s="24"/>
      <c r="J63" s="24"/>
      <c r="K63" s="24"/>
    </row>
    <row r="64" spans="1:11" ht="15.75">
      <c r="A64" s="36" t="s">
        <v>12</v>
      </c>
      <c r="B64" s="37">
        <f>_xlfn.XLOOKUP(Log_Atkinson145[[#This Row],[Machine ]], PriceTable[Machine], PriceTable[$/Unit], "")</f>
        <v>0</v>
      </c>
      <c r="C64" s="29"/>
      <c r="D64" s="38" t="str">
        <f>IF(OR(Log_Atkinson145[[#This Row],[Machine ]]="", Log_Atkinson145[[#This Row],[Unit Amount]]=""), "", IFERROR(MAX(Log_Atkinson145[[#This Row],[Unit Amount]] * Log_Atkinson145[[#This Row],[$/Unit]], 3), ""))</f>
        <v/>
      </c>
      <c r="E64" s="27"/>
      <c r="F64" s="24"/>
      <c r="G64" s="29"/>
      <c r="H64" s="30"/>
      <c r="I64" s="28"/>
      <c r="J64" s="24"/>
      <c r="K64" s="28"/>
    </row>
    <row r="65" spans="1:11" ht="15.75">
      <c r="A65" s="36" t="s">
        <v>12</v>
      </c>
      <c r="B65" s="39">
        <f>_xlfn.XLOOKUP(Log_Atkinson145[[#This Row],[Machine ]], PriceTable[Machine], PriceTable[$/Unit], "")</f>
        <v>0</v>
      </c>
      <c r="C65" s="25"/>
      <c r="D65" s="38" t="str">
        <f>IF(OR(Log_Atkinson145[[#This Row],[Machine ]]="", Log_Atkinson145[[#This Row],[Unit Amount]]=""), "", IFERROR(MAX(Log_Atkinson145[[#This Row],[Unit Amount]] * Log_Atkinson145[[#This Row],[$/Unit]], 3), ""))</f>
        <v/>
      </c>
      <c r="E65" s="23"/>
      <c r="F65" s="24"/>
      <c r="G65" s="25"/>
      <c r="H65" s="26"/>
      <c r="I65" s="24"/>
      <c r="J65" s="24"/>
      <c r="K65" s="24"/>
    </row>
    <row r="66" spans="1:11" ht="15.75">
      <c r="A66" s="36" t="s">
        <v>12</v>
      </c>
      <c r="B66" s="37">
        <f>_xlfn.XLOOKUP(Log_Atkinson145[[#This Row],[Machine ]], PriceTable[Machine], PriceTable[$/Unit], "")</f>
        <v>0</v>
      </c>
      <c r="C66" s="29"/>
      <c r="D66" s="38" t="str">
        <f>IF(OR(Log_Atkinson145[[#This Row],[Machine ]]="", Log_Atkinson145[[#This Row],[Unit Amount]]=""), "", IFERROR(MAX(Log_Atkinson145[[#This Row],[Unit Amount]] * Log_Atkinson145[[#This Row],[$/Unit]], 3), ""))</f>
        <v/>
      </c>
      <c r="E66" s="27"/>
      <c r="F66" s="24"/>
      <c r="G66" s="29"/>
      <c r="H66" s="30"/>
      <c r="I66" s="28"/>
      <c r="J66" s="24"/>
      <c r="K66" s="28"/>
    </row>
    <row r="67" spans="1:11" ht="15.75">
      <c r="A67" s="36" t="s">
        <v>12</v>
      </c>
      <c r="B67" s="39">
        <f>_xlfn.XLOOKUP(Log_Atkinson145[[#This Row],[Machine ]], PriceTable[Machine], PriceTable[$/Unit], "")</f>
        <v>0</v>
      </c>
      <c r="C67" s="25"/>
      <c r="D67" s="38" t="str">
        <f>IF(OR(Log_Atkinson145[[#This Row],[Machine ]]="", Log_Atkinson145[[#This Row],[Unit Amount]]=""), "", IFERROR(MAX(Log_Atkinson145[[#This Row],[Unit Amount]] * Log_Atkinson145[[#This Row],[$/Unit]], 3), ""))</f>
        <v/>
      </c>
      <c r="E67" s="23"/>
      <c r="F67" s="24"/>
      <c r="G67" s="25"/>
      <c r="H67" s="26"/>
      <c r="I67" s="24"/>
      <c r="J67" s="24"/>
      <c r="K67" s="24"/>
    </row>
    <row r="68" spans="1:11" ht="15.75">
      <c r="A68" s="36" t="s">
        <v>12</v>
      </c>
      <c r="B68" s="37">
        <f>_xlfn.XLOOKUP(Log_Atkinson145[[#This Row],[Machine ]], PriceTable[Machine], PriceTable[$/Unit], "")</f>
        <v>0</v>
      </c>
      <c r="C68" s="29"/>
      <c r="D68" s="38" t="str">
        <f>IF(OR(Log_Atkinson145[[#This Row],[Machine ]]="", Log_Atkinson145[[#This Row],[Unit Amount]]=""), "", IFERROR(MAX(Log_Atkinson145[[#This Row],[Unit Amount]] * Log_Atkinson145[[#This Row],[$/Unit]], 3), ""))</f>
        <v/>
      </c>
      <c r="E68" s="27"/>
      <c r="F68" s="24"/>
      <c r="G68" s="29"/>
      <c r="H68" s="30"/>
      <c r="I68" s="28"/>
      <c r="J68" s="24"/>
      <c r="K68" s="28"/>
    </row>
    <row r="69" spans="1:11" ht="15.75">
      <c r="A69" s="36" t="s">
        <v>12</v>
      </c>
      <c r="B69" s="39">
        <f>_xlfn.XLOOKUP(Log_Atkinson145[[#This Row],[Machine ]], PriceTable[Machine], PriceTable[$/Unit], "")</f>
        <v>0</v>
      </c>
      <c r="C69" s="25"/>
      <c r="D69" s="38" t="str">
        <f>IF(OR(Log_Atkinson145[[#This Row],[Machine ]]="", Log_Atkinson145[[#This Row],[Unit Amount]]=""), "", IFERROR(MAX(Log_Atkinson145[[#This Row],[Unit Amount]] * Log_Atkinson145[[#This Row],[$/Unit]], 3), ""))</f>
        <v/>
      </c>
      <c r="E69" s="23"/>
      <c r="F69" s="24"/>
      <c r="G69" s="25"/>
      <c r="H69" s="26"/>
      <c r="I69" s="24"/>
      <c r="J69" s="24"/>
      <c r="K69" s="24"/>
    </row>
    <row r="70" spans="1:11" ht="15.75">
      <c r="A70" s="36" t="s">
        <v>12</v>
      </c>
      <c r="B70" s="37">
        <f>_xlfn.XLOOKUP(Log_Atkinson145[[#This Row],[Machine ]], PriceTable[Machine], PriceTable[$/Unit], "")</f>
        <v>0</v>
      </c>
      <c r="C70" s="29"/>
      <c r="D70" s="38" t="str">
        <f>IF(OR(Log_Atkinson145[[#This Row],[Machine ]]="", Log_Atkinson145[[#This Row],[Unit Amount]]=""), "", IFERROR(MAX(Log_Atkinson145[[#This Row],[Unit Amount]] * Log_Atkinson145[[#This Row],[$/Unit]], 3), ""))</f>
        <v/>
      </c>
      <c r="E70" s="27"/>
      <c r="F70" s="24"/>
      <c r="G70" s="29"/>
      <c r="H70" s="30"/>
      <c r="I70" s="28"/>
      <c r="J70" s="24"/>
      <c r="K70" s="28"/>
    </row>
    <row r="71" spans="1:11" ht="15.75">
      <c r="A71" s="36" t="s">
        <v>12</v>
      </c>
      <c r="B71" s="39">
        <f>_xlfn.XLOOKUP(Log_Atkinson145[[#This Row],[Machine ]], PriceTable[Machine], PriceTable[$/Unit], "")</f>
        <v>0</v>
      </c>
      <c r="C71" s="25"/>
      <c r="D71" s="38" t="str">
        <f>IF(OR(Log_Atkinson145[[#This Row],[Machine ]]="", Log_Atkinson145[[#This Row],[Unit Amount]]=""), "", IFERROR(MAX(Log_Atkinson145[[#This Row],[Unit Amount]] * Log_Atkinson145[[#This Row],[$/Unit]], 3), ""))</f>
        <v/>
      </c>
      <c r="E71" s="23"/>
      <c r="F71" s="24"/>
      <c r="G71" s="25"/>
      <c r="H71" s="26"/>
      <c r="I71" s="24"/>
      <c r="J71" s="24"/>
      <c r="K71" s="24"/>
    </row>
    <row r="72" spans="1:11" ht="15.75">
      <c r="A72" s="36" t="s">
        <v>12</v>
      </c>
      <c r="B72" s="37">
        <f>_xlfn.XLOOKUP(Log_Atkinson145[[#This Row],[Machine ]], PriceTable[Machine], PriceTable[$/Unit], "")</f>
        <v>0</v>
      </c>
      <c r="C72" s="29"/>
      <c r="D72" s="38" t="str">
        <f>IF(OR(Log_Atkinson145[[#This Row],[Machine ]]="", Log_Atkinson145[[#This Row],[Unit Amount]]=""), "", IFERROR(MAX(Log_Atkinson145[[#This Row],[Unit Amount]] * Log_Atkinson145[[#This Row],[$/Unit]], 3), ""))</f>
        <v/>
      </c>
      <c r="E72" s="27"/>
      <c r="F72" s="24"/>
      <c r="G72" s="29"/>
      <c r="H72" s="30"/>
      <c r="I72" s="28"/>
      <c r="J72" s="24"/>
      <c r="K72" s="28"/>
    </row>
    <row r="73" spans="1:11" ht="15.75">
      <c r="A73" s="36" t="s">
        <v>12</v>
      </c>
      <c r="B73" s="39">
        <f>_xlfn.XLOOKUP(Log_Atkinson145[[#This Row],[Machine ]], PriceTable[Machine], PriceTable[$/Unit], "")</f>
        <v>0</v>
      </c>
      <c r="C73" s="25"/>
      <c r="D73" s="38" t="str">
        <f>IF(OR(Log_Atkinson145[[#This Row],[Machine ]]="", Log_Atkinson145[[#This Row],[Unit Amount]]=""), "", IFERROR(MAX(Log_Atkinson145[[#This Row],[Unit Amount]] * Log_Atkinson145[[#This Row],[$/Unit]], 3), ""))</f>
        <v/>
      </c>
      <c r="E73" s="23"/>
      <c r="F73" s="24"/>
      <c r="G73" s="25"/>
      <c r="H73" s="26"/>
      <c r="I73" s="24"/>
      <c r="J73" s="24"/>
      <c r="K73" s="24"/>
    </row>
    <row r="74" spans="1:11" ht="15.75">
      <c r="A74" s="36" t="s">
        <v>12</v>
      </c>
      <c r="B74" s="37">
        <f>_xlfn.XLOOKUP(Log_Atkinson145[[#This Row],[Machine ]], PriceTable[Machine], PriceTable[$/Unit], "")</f>
        <v>0</v>
      </c>
      <c r="C74" s="29"/>
      <c r="D74" s="38" t="str">
        <f>IF(OR(Log_Atkinson145[[#This Row],[Machine ]]="", Log_Atkinson145[[#This Row],[Unit Amount]]=""), "", IFERROR(MAX(Log_Atkinson145[[#This Row],[Unit Amount]] * Log_Atkinson145[[#This Row],[$/Unit]], 3), ""))</f>
        <v/>
      </c>
      <c r="E74" s="27"/>
      <c r="F74" s="24"/>
      <c r="G74" s="29"/>
      <c r="H74" s="30"/>
      <c r="I74" s="28"/>
      <c r="J74" s="24"/>
      <c r="K74" s="28"/>
    </row>
    <row r="75" spans="1:11" ht="15.75">
      <c r="A75" s="36" t="s">
        <v>12</v>
      </c>
      <c r="B75" s="39">
        <f>_xlfn.XLOOKUP(Log_Atkinson145[[#This Row],[Machine ]], PriceTable[Machine], PriceTable[$/Unit], "")</f>
        <v>0</v>
      </c>
      <c r="C75" s="25"/>
      <c r="D75" s="38" t="str">
        <f>IF(OR(Log_Atkinson145[[#This Row],[Machine ]]="", Log_Atkinson145[[#This Row],[Unit Amount]]=""), "", IFERROR(MAX(Log_Atkinson145[[#This Row],[Unit Amount]] * Log_Atkinson145[[#This Row],[$/Unit]], 3), ""))</f>
        <v/>
      </c>
      <c r="E75" s="23"/>
      <c r="F75" s="24"/>
      <c r="G75" s="25"/>
      <c r="H75" s="26"/>
      <c r="I75" s="24"/>
      <c r="J75" s="24"/>
      <c r="K75" s="24"/>
    </row>
    <row r="76" spans="1:11" ht="15.75">
      <c r="A76" s="36" t="s">
        <v>12</v>
      </c>
      <c r="B76" s="37">
        <f>_xlfn.XLOOKUP(Log_Atkinson145[[#This Row],[Machine ]], PriceTable[Machine], PriceTable[$/Unit], "")</f>
        <v>0</v>
      </c>
      <c r="C76" s="29"/>
      <c r="D76" s="38" t="str">
        <f>IF(OR(Log_Atkinson145[[#This Row],[Machine ]]="", Log_Atkinson145[[#This Row],[Unit Amount]]=""), "", IFERROR(MAX(Log_Atkinson145[[#This Row],[Unit Amount]] * Log_Atkinson145[[#This Row],[$/Unit]], 3), ""))</f>
        <v/>
      </c>
      <c r="E76" s="27"/>
      <c r="F76" s="24"/>
      <c r="G76" s="29"/>
      <c r="H76" s="30"/>
      <c r="I76" s="28"/>
      <c r="J76" s="24"/>
      <c r="K76" s="28"/>
    </row>
    <row r="77" spans="1:11" ht="15.75">
      <c r="A77" s="36" t="s">
        <v>12</v>
      </c>
      <c r="B77" s="39">
        <f>_xlfn.XLOOKUP(Log_Atkinson145[[#This Row],[Machine ]], PriceTable[Machine], PriceTable[$/Unit], "")</f>
        <v>0</v>
      </c>
      <c r="C77" s="25"/>
      <c r="D77" s="38" t="str">
        <f>IF(OR(Log_Atkinson145[[#This Row],[Machine ]]="", Log_Atkinson145[[#This Row],[Unit Amount]]=""), "", IFERROR(MAX(Log_Atkinson145[[#This Row],[Unit Amount]] * Log_Atkinson145[[#This Row],[$/Unit]], 3), ""))</f>
        <v/>
      </c>
      <c r="E77" s="23"/>
      <c r="F77" s="24"/>
      <c r="G77" s="25"/>
      <c r="H77" s="26"/>
      <c r="I77" s="24"/>
      <c r="J77" s="24"/>
      <c r="K77" s="24"/>
    </row>
    <row r="78" spans="1:11" ht="15.75">
      <c r="A78" s="36" t="s">
        <v>12</v>
      </c>
      <c r="B78" s="37">
        <f>_xlfn.XLOOKUP(Log_Atkinson145[[#This Row],[Machine ]], PriceTable[Machine], PriceTable[$/Unit], "")</f>
        <v>0</v>
      </c>
      <c r="C78" s="29"/>
      <c r="D78" s="38" t="str">
        <f>IF(OR(Log_Atkinson145[[#This Row],[Machine ]]="", Log_Atkinson145[[#This Row],[Unit Amount]]=""), "", IFERROR(MAX(Log_Atkinson145[[#This Row],[Unit Amount]] * Log_Atkinson145[[#This Row],[$/Unit]], 3), ""))</f>
        <v/>
      </c>
      <c r="E78" s="27"/>
      <c r="F78" s="24"/>
      <c r="G78" s="29"/>
      <c r="H78" s="30"/>
      <c r="I78" s="28"/>
      <c r="J78" s="24"/>
      <c r="K78" s="28"/>
    </row>
    <row r="79" spans="1:11" ht="15.75">
      <c r="A79" s="36" t="s">
        <v>12</v>
      </c>
      <c r="B79" s="39">
        <f>_xlfn.XLOOKUP(Log_Atkinson145[[#This Row],[Machine ]], PriceTable[Machine], PriceTable[$/Unit], "")</f>
        <v>0</v>
      </c>
      <c r="C79" s="25"/>
      <c r="D79" s="38" t="str">
        <f>IF(OR(Log_Atkinson145[[#This Row],[Machine ]]="", Log_Atkinson145[[#This Row],[Unit Amount]]=""), "", IFERROR(MAX(Log_Atkinson145[[#This Row],[Unit Amount]] * Log_Atkinson145[[#This Row],[$/Unit]], 3), ""))</f>
        <v/>
      </c>
      <c r="E79" s="23"/>
      <c r="F79" s="24"/>
      <c r="G79" s="25"/>
      <c r="H79" s="26"/>
      <c r="I79" s="24"/>
      <c r="J79" s="24"/>
      <c r="K79" s="24"/>
    </row>
    <row r="80" spans="1:11" ht="15.75">
      <c r="A80" s="36" t="s">
        <v>12</v>
      </c>
      <c r="B80" s="37">
        <f>_xlfn.XLOOKUP(Log_Atkinson145[[#This Row],[Machine ]], PriceTable[Machine], PriceTable[$/Unit], "")</f>
        <v>0</v>
      </c>
      <c r="C80" s="29"/>
      <c r="D80" s="38" t="str">
        <f>IF(OR(Log_Atkinson145[[#This Row],[Machine ]]="", Log_Atkinson145[[#This Row],[Unit Amount]]=""), "", IFERROR(MAX(Log_Atkinson145[[#This Row],[Unit Amount]] * Log_Atkinson145[[#This Row],[$/Unit]], 3), ""))</f>
        <v/>
      </c>
      <c r="E80" s="27"/>
      <c r="F80" s="24"/>
      <c r="G80" s="29"/>
      <c r="H80" s="30"/>
      <c r="I80" s="28"/>
      <c r="J80" s="24"/>
      <c r="K80" s="28"/>
    </row>
    <row r="81" spans="1:11" ht="15.75">
      <c r="A81" s="36" t="s">
        <v>12</v>
      </c>
      <c r="B81" s="39">
        <f>_xlfn.XLOOKUP(Log_Atkinson145[[#This Row],[Machine ]], PriceTable[Machine], PriceTable[$/Unit], "")</f>
        <v>0</v>
      </c>
      <c r="C81" s="25"/>
      <c r="D81" s="38" t="str">
        <f>IF(OR(Log_Atkinson145[[#This Row],[Machine ]]="", Log_Atkinson145[[#This Row],[Unit Amount]]=""), "", IFERROR(MAX(Log_Atkinson145[[#This Row],[Unit Amount]] * Log_Atkinson145[[#This Row],[$/Unit]], 3), ""))</f>
        <v/>
      </c>
      <c r="E81" s="23"/>
      <c r="F81" s="24"/>
      <c r="G81" s="25"/>
      <c r="H81" s="26"/>
      <c r="I81" s="24"/>
      <c r="J81" s="24"/>
      <c r="K81" s="24"/>
    </row>
    <row r="82" spans="1:11" ht="15.75">
      <c r="A82" s="36" t="s">
        <v>12</v>
      </c>
      <c r="B82" s="37">
        <f>_xlfn.XLOOKUP(Log_Atkinson145[[#This Row],[Machine ]], PriceTable[Machine], PriceTable[$/Unit], "")</f>
        <v>0</v>
      </c>
      <c r="C82" s="29"/>
      <c r="D82" s="38" t="str">
        <f>IF(OR(Log_Atkinson145[[#This Row],[Machine ]]="", Log_Atkinson145[[#This Row],[Unit Amount]]=""), "", IFERROR(MAX(Log_Atkinson145[[#This Row],[Unit Amount]] * Log_Atkinson145[[#This Row],[$/Unit]], 3), ""))</f>
        <v/>
      </c>
      <c r="E82" s="27"/>
      <c r="F82" s="24"/>
      <c r="G82" s="29"/>
      <c r="H82" s="30"/>
      <c r="I82" s="28"/>
      <c r="J82" s="24"/>
      <c r="K82" s="28"/>
    </row>
    <row r="83" spans="1:11" ht="15.75">
      <c r="A83" s="36" t="s">
        <v>12</v>
      </c>
      <c r="B83" s="39">
        <f>_xlfn.XLOOKUP(Log_Atkinson145[[#This Row],[Machine ]], PriceTable[Machine], PriceTable[$/Unit], "")</f>
        <v>0</v>
      </c>
      <c r="C83" s="25"/>
      <c r="D83" s="38" t="str">
        <f>IF(OR(Log_Atkinson145[[#This Row],[Machine ]]="", Log_Atkinson145[[#This Row],[Unit Amount]]=""), "", IFERROR(MAX(Log_Atkinson145[[#This Row],[Unit Amount]] * Log_Atkinson145[[#This Row],[$/Unit]], 3), ""))</f>
        <v/>
      </c>
      <c r="E83" s="23"/>
      <c r="F83" s="24"/>
      <c r="G83" s="25"/>
      <c r="H83" s="26"/>
      <c r="I83" s="24"/>
      <c r="J83" s="24"/>
      <c r="K83" s="24"/>
    </row>
    <row r="84" spans="1:11" ht="15.75">
      <c r="A84" s="36" t="s">
        <v>12</v>
      </c>
      <c r="B84" s="37">
        <f>_xlfn.XLOOKUP(Log_Atkinson145[[#This Row],[Machine ]], PriceTable[Machine], PriceTable[$/Unit], "")</f>
        <v>0</v>
      </c>
      <c r="C84" s="29"/>
      <c r="D84" s="38" t="str">
        <f>IF(OR(Log_Atkinson145[[#This Row],[Machine ]]="", Log_Atkinson145[[#This Row],[Unit Amount]]=""), "", IFERROR(MAX(Log_Atkinson145[[#This Row],[Unit Amount]] * Log_Atkinson145[[#This Row],[$/Unit]], 3), ""))</f>
        <v/>
      </c>
      <c r="E84" s="27"/>
      <c r="F84" s="24"/>
      <c r="G84" s="29"/>
      <c r="H84" s="30"/>
      <c r="I84" s="28"/>
      <c r="J84" s="24"/>
      <c r="K84" s="28"/>
    </row>
    <row r="85" spans="1:11" ht="15.75">
      <c r="A85" s="36" t="s">
        <v>12</v>
      </c>
      <c r="B85" s="39">
        <f>_xlfn.XLOOKUP(Log_Atkinson145[[#This Row],[Machine ]], PriceTable[Machine], PriceTable[$/Unit], "")</f>
        <v>0</v>
      </c>
      <c r="C85" s="25"/>
      <c r="D85" s="38" t="str">
        <f>IF(OR(Log_Atkinson145[[#This Row],[Machine ]]="", Log_Atkinson145[[#This Row],[Unit Amount]]=""), "", IFERROR(MAX(Log_Atkinson145[[#This Row],[Unit Amount]] * Log_Atkinson145[[#This Row],[$/Unit]], 3), ""))</f>
        <v/>
      </c>
      <c r="E85" s="23"/>
      <c r="F85" s="24"/>
      <c r="G85" s="25"/>
      <c r="H85" s="26"/>
      <c r="I85" s="24"/>
      <c r="J85" s="24"/>
      <c r="K85" s="24"/>
    </row>
    <row r="86" spans="1:11" ht="15.75">
      <c r="A86" s="36" t="s">
        <v>12</v>
      </c>
      <c r="B86" s="37">
        <f>_xlfn.XLOOKUP(Log_Atkinson145[[#This Row],[Machine ]], PriceTable[Machine], PriceTable[$/Unit], "")</f>
        <v>0</v>
      </c>
      <c r="C86" s="29"/>
      <c r="D86" s="38" t="str">
        <f>IF(OR(Log_Atkinson145[[#This Row],[Machine ]]="", Log_Atkinson145[[#This Row],[Unit Amount]]=""), "", IFERROR(MAX(Log_Atkinson145[[#This Row],[Unit Amount]] * Log_Atkinson145[[#This Row],[$/Unit]], 3), ""))</f>
        <v/>
      </c>
      <c r="E86" s="27"/>
      <c r="F86" s="24"/>
      <c r="G86" s="29"/>
      <c r="H86" s="30"/>
      <c r="I86" s="28"/>
      <c r="J86" s="24"/>
      <c r="K86" s="28"/>
    </row>
    <row r="87" spans="1:11" ht="15.75">
      <c r="A87" s="36" t="s">
        <v>12</v>
      </c>
      <c r="B87" s="39">
        <f>_xlfn.XLOOKUP(Log_Atkinson145[[#This Row],[Machine ]], PriceTable[Machine], PriceTable[$/Unit], "")</f>
        <v>0</v>
      </c>
      <c r="C87" s="25"/>
      <c r="D87" s="38" t="str">
        <f>IF(OR(Log_Atkinson145[[#This Row],[Machine ]]="", Log_Atkinson145[[#This Row],[Unit Amount]]=""), "", IFERROR(MAX(Log_Atkinson145[[#This Row],[Unit Amount]] * Log_Atkinson145[[#This Row],[$/Unit]], 3), ""))</f>
        <v/>
      </c>
      <c r="E87" s="23"/>
      <c r="F87" s="24"/>
      <c r="G87" s="25"/>
      <c r="H87" s="26"/>
      <c r="I87" s="24"/>
      <c r="J87" s="24"/>
      <c r="K87" s="24"/>
    </row>
    <row r="88" spans="1:11" ht="15.75">
      <c r="A88" s="36" t="s">
        <v>12</v>
      </c>
      <c r="B88" s="37">
        <f>_xlfn.XLOOKUP(Log_Atkinson145[[#This Row],[Machine ]], PriceTable[Machine], PriceTable[$/Unit], "")</f>
        <v>0</v>
      </c>
      <c r="C88" s="29"/>
      <c r="D88" s="38" t="str">
        <f>IF(OR(Log_Atkinson145[[#This Row],[Machine ]]="", Log_Atkinson145[[#This Row],[Unit Amount]]=""), "", IFERROR(MAX(Log_Atkinson145[[#This Row],[Unit Amount]] * Log_Atkinson145[[#This Row],[$/Unit]], 3), ""))</f>
        <v/>
      </c>
      <c r="E88" s="27"/>
      <c r="F88" s="24"/>
      <c r="G88" s="29"/>
      <c r="H88" s="30"/>
      <c r="I88" s="28"/>
      <c r="J88" s="24"/>
      <c r="K88" s="28"/>
    </row>
    <row r="89" spans="1:11" ht="15.75">
      <c r="A89" s="36" t="s">
        <v>12</v>
      </c>
      <c r="B89" s="39">
        <f>_xlfn.XLOOKUP(Log_Atkinson145[[#This Row],[Machine ]], PriceTable[Machine], PriceTable[$/Unit], "")</f>
        <v>0</v>
      </c>
      <c r="C89" s="25"/>
      <c r="D89" s="38" t="str">
        <f>IF(OR(Log_Atkinson145[[#This Row],[Machine ]]="", Log_Atkinson145[[#This Row],[Unit Amount]]=""), "", IFERROR(MAX(Log_Atkinson145[[#This Row],[Unit Amount]] * Log_Atkinson145[[#This Row],[$/Unit]], 3), ""))</f>
        <v/>
      </c>
      <c r="E89" s="23"/>
      <c r="F89" s="24"/>
      <c r="G89" s="25"/>
      <c r="H89" s="26"/>
      <c r="I89" s="24"/>
      <c r="J89" s="24"/>
      <c r="K89" s="24"/>
    </row>
    <row r="90" spans="1:11" ht="15.75">
      <c r="A90" s="36" t="s">
        <v>12</v>
      </c>
      <c r="B90" s="37">
        <f>_xlfn.XLOOKUP(Log_Atkinson145[[#This Row],[Machine ]], PriceTable[Machine], PriceTable[$/Unit], "")</f>
        <v>0</v>
      </c>
      <c r="C90" s="29"/>
      <c r="D90" s="38" t="str">
        <f>IF(OR(Log_Atkinson145[[#This Row],[Machine ]]="", Log_Atkinson145[[#This Row],[Unit Amount]]=""), "", IFERROR(MAX(Log_Atkinson145[[#This Row],[Unit Amount]] * Log_Atkinson145[[#This Row],[$/Unit]], 3), ""))</f>
        <v/>
      </c>
      <c r="E90" s="27"/>
      <c r="F90" s="24"/>
      <c r="G90" s="29"/>
      <c r="H90" s="30"/>
      <c r="I90" s="28"/>
      <c r="J90" s="24"/>
      <c r="K90" s="28"/>
    </row>
    <row r="91" spans="1:11" ht="15.75">
      <c r="A91" s="36" t="s">
        <v>12</v>
      </c>
      <c r="B91" s="39">
        <f>_xlfn.XLOOKUP(Log_Atkinson145[[#This Row],[Machine ]], PriceTable[Machine], PriceTable[$/Unit], "")</f>
        <v>0</v>
      </c>
      <c r="C91" s="25"/>
      <c r="D91" s="38" t="str">
        <f>IF(OR(Log_Atkinson145[[#This Row],[Machine ]]="", Log_Atkinson145[[#This Row],[Unit Amount]]=""), "", IFERROR(MAX(Log_Atkinson145[[#This Row],[Unit Amount]] * Log_Atkinson145[[#This Row],[$/Unit]], 3), ""))</f>
        <v/>
      </c>
      <c r="E91" s="23"/>
      <c r="F91" s="24"/>
      <c r="G91" s="25"/>
      <c r="H91" s="26"/>
      <c r="I91" s="24"/>
      <c r="J91" s="24"/>
      <c r="K91" s="24"/>
    </row>
    <row r="92" spans="1:11" ht="15.75">
      <c r="A92" s="36" t="s">
        <v>12</v>
      </c>
      <c r="B92" s="37">
        <f>_xlfn.XLOOKUP(Log_Atkinson145[[#This Row],[Machine ]], PriceTable[Machine], PriceTable[$/Unit], "")</f>
        <v>0</v>
      </c>
      <c r="C92" s="29"/>
      <c r="D92" s="38" t="str">
        <f>IF(OR(Log_Atkinson145[[#This Row],[Machine ]]="", Log_Atkinson145[[#This Row],[Unit Amount]]=""), "", IFERROR(MAX(Log_Atkinson145[[#This Row],[Unit Amount]] * Log_Atkinson145[[#This Row],[$/Unit]], 3), ""))</f>
        <v/>
      </c>
      <c r="E92" s="27"/>
      <c r="F92" s="24"/>
      <c r="G92" s="29"/>
      <c r="H92" s="30"/>
      <c r="I92" s="28"/>
      <c r="J92" s="24"/>
      <c r="K92" s="28"/>
    </row>
    <row r="93" spans="1:11" ht="15.75">
      <c r="A93" s="36" t="s">
        <v>12</v>
      </c>
      <c r="B93" s="39">
        <f>_xlfn.XLOOKUP(Log_Atkinson145[[#This Row],[Machine ]], PriceTable[Machine], PriceTable[$/Unit], "")</f>
        <v>0</v>
      </c>
      <c r="C93" s="25"/>
      <c r="D93" s="38" t="str">
        <f>IF(OR(Log_Atkinson145[[#This Row],[Machine ]]="", Log_Atkinson145[[#This Row],[Unit Amount]]=""), "", IFERROR(MAX(Log_Atkinson145[[#This Row],[Unit Amount]] * Log_Atkinson145[[#This Row],[$/Unit]], 3), ""))</f>
        <v/>
      </c>
      <c r="E93" s="23"/>
      <c r="F93" s="24"/>
      <c r="G93" s="25"/>
      <c r="H93" s="26"/>
      <c r="I93" s="24"/>
      <c r="J93" s="24"/>
      <c r="K93" s="24"/>
    </row>
    <row r="94" spans="1:11" ht="15.75">
      <c r="A94" s="36" t="s">
        <v>12</v>
      </c>
      <c r="B94" s="37">
        <f>_xlfn.XLOOKUP(Log_Atkinson145[[#This Row],[Machine ]], PriceTable[Machine], PriceTable[$/Unit], "")</f>
        <v>0</v>
      </c>
      <c r="C94" s="29"/>
      <c r="D94" s="38" t="str">
        <f>IF(OR(Log_Atkinson145[[#This Row],[Machine ]]="", Log_Atkinson145[[#This Row],[Unit Amount]]=""), "", IFERROR(MAX(Log_Atkinson145[[#This Row],[Unit Amount]] * Log_Atkinson145[[#This Row],[$/Unit]], 3), ""))</f>
        <v/>
      </c>
      <c r="E94" s="27"/>
      <c r="F94" s="24"/>
      <c r="G94" s="29"/>
      <c r="H94" s="30"/>
      <c r="I94" s="28"/>
      <c r="J94" s="24"/>
      <c r="K94" s="28"/>
    </row>
    <row r="95" spans="1:11" ht="15.75">
      <c r="A95" s="36" t="s">
        <v>12</v>
      </c>
      <c r="B95" s="39">
        <f>_xlfn.XLOOKUP(Log_Atkinson145[[#This Row],[Machine ]], PriceTable[Machine], PriceTable[$/Unit], "")</f>
        <v>0</v>
      </c>
      <c r="C95" s="25"/>
      <c r="D95" s="38" t="str">
        <f>IF(OR(Log_Atkinson145[[#This Row],[Machine ]]="", Log_Atkinson145[[#This Row],[Unit Amount]]=""), "", IFERROR(MAX(Log_Atkinson145[[#This Row],[Unit Amount]] * Log_Atkinson145[[#This Row],[$/Unit]], 3), ""))</f>
        <v/>
      </c>
      <c r="E95" s="23"/>
      <c r="F95" s="24"/>
      <c r="G95" s="25"/>
      <c r="H95" s="26"/>
      <c r="I95" s="24"/>
      <c r="J95" s="24"/>
      <c r="K95" s="24"/>
    </row>
    <row r="96" spans="1:11" ht="15.75">
      <c r="A96" s="36" t="s">
        <v>12</v>
      </c>
      <c r="B96" s="37">
        <f>_xlfn.XLOOKUP(Log_Atkinson145[[#This Row],[Machine ]], PriceTable[Machine], PriceTable[$/Unit], "")</f>
        <v>0</v>
      </c>
      <c r="C96" s="29"/>
      <c r="D96" s="38" t="str">
        <f>IF(OR(Log_Atkinson145[[#This Row],[Machine ]]="", Log_Atkinson145[[#This Row],[Unit Amount]]=""), "", IFERROR(MAX(Log_Atkinson145[[#This Row],[Unit Amount]] * Log_Atkinson145[[#This Row],[$/Unit]], 3), ""))</f>
        <v/>
      </c>
      <c r="E96" s="27"/>
      <c r="F96" s="24"/>
      <c r="G96" s="29"/>
      <c r="H96" s="30"/>
      <c r="I96" s="28"/>
      <c r="J96" s="24"/>
      <c r="K96" s="28"/>
    </row>
    <row r="97" spans="1:11" ht="15.75">
      <c r="A97" s="36" t="s">
        <v>12</v>
      </c>
      <c r="B97" s="39">
        <f>_xlfn.XLOOKUP(Log_Atkinson145[[#This Row],[Machine ]], PriceTable[Machine], PriceTable[$/Unit], "")</f>
        <v>0</v>
      </c>
      <c r="C97" s="25"/>
      <c r="D97" s="38" t="str">
        <f>IF(OR(Log_Atkinson145[[#This Row],[Machine ]]="", Log_Atkinson145[[#This Row],[Unit Amount]]=""), "", IFERROR(MAX(Log_Atkinson145[[#This Row],[Unit Amount]] * Log_Atkinson145[[#This Row],[$/Unit]], 3), ""))</f>
        <v/>
      </c>
      <c r="E97" s="23"/>
      <c r="F97" s="24"/>
      <c r="G97" s="25"/>
      <c r="H97" s="26"/>
      <c r="I97" s="24"/>
      <c r="J97" s="24"/>
      <c r="K97" s="24"/>
    </row>
    <row r="98" spans="1:11" ht="15.75">
      <c r="A98" s="36" t="s">
        <v>12</v>
      </c>
      <c r="B98" s="39">
        <f>_xlfn.XLOOKUP(Log_Atkinson145[[#This Row],[Machine ]], PriceTable[Machine], PriceTable[$/Unit], "")</f>
        <v>0</v>
      </c>
      <c r="C98" s="25"/>
      <c r="D98" s="38" t="str">
        <f>IF(OR(Log_Atkinson145[[#This Row],[Machine ]]="", Log_Atkinson145[[#This Row],[Unit Amount]]=""), "", IFERROR(MAX(Log_Atkinson145[[#This Row],[Unit Amount]] * Log_Atkinson145[[#This Row],[$/Unit]], 3), ""))</f>
        <v/>
      </c>
      <c r="E98" s="23"/>
      <c r="F98" s="24"/>
      <c r="G98" s="25"/>
      <c r="H98" s="26"/>
      <c r="I98" s="24"/>
      <c r="J98" s="24"/>
      <c r="K98" s="24"/>
    </row>
    <row r="99" spans="1:11" ht="15.75">
      <c r="A99" s="36" t="s">
        <v>12</v>
      </c>
      <c r="B99" s="37">
        <f>_xlfn.XLOOKUP(Log_Atkinson145[[#This Row],[Machine ]], PriceTable[Machine], PriceTable[$/Unit], "")</f>
        <v>0</v>
      </c>
      <c r="C99" s="25"/>
      <c r="D99" s="38" t="str">
        <f>IF(OR(Log_Atkinson145[[#This Row],[Machine ]]="", Log_Atkinson145[[#This Row],[Unit Amount]]=""), "", IFERROR(MAX(Log_Atkinson145[[#This Row],[Unit Amount]] * Log_Atkinson145[[#This Row],[$/Unit]], 3), ""))</f>
        <v/>
      </c>
      <c r="E99" s="23"/>
      <c r="F99" s="24"/>
      <c r="G99" s="25"/>
      <c r="H99" s="26"/>
      <c r="I99" s="24"/>
      <c r="J99" s="24"/>
      <c r="K99" s="24"/>
    </row>
    <row r="100" spans="1:11" ht="15.75">
      <c r="A100" s="36" t="s">
        <v>12</v>
      </c>
      <c r="B100" s="37">
        <f>_xlfn.XLOOKUP(Log_Atkinson145[[#This Row],[Machine ]], PriceTable[Machine], PriceTable[$/Unit], "")</f>
        <v>0</v>
      </c>
      <c r="C100" s="29"/>
      <c r="D100" s="38" t="str">
        <f>IF(OR(Log_Atkinson145[[#This Row],[Machine ]]="", Log_Atkinson145[[#This Row],[Unit Amount]]=""), "", IFERROR(MAX(Log_Atkinson145[[#This Row],[Unit Amount]] * Log_Atkinson145[[#This Row],[$/Unit]], 3), ""))</f>
        <v/>
      </c>
      <c r="E100" s="27"/>
      <c r="F100" s="24"/>
      <c r="G100" s="29"/>
      <c r="H100" s="30"/>
      <c r="I100" s="28"/>
      <c r="J100" s="24"/>
      <c r="K100" s="28"/>
    </row>
    <row r="101" spans="1:11" ht="15.75">
      <c r="A101" s="36" t="s">
        <v>13</v>
      </c>
      <c r="B101" s="40"/>
      <c r="C101" s="25"/>
      <c r="D101" s="41"/>
      <c r="E101" s="23"/>
      <c r="F101" s="24"/>
      <c r="G101" s="25"/>
      <c r="H101" s="25"/>
      <c r="I101" s="24"/>
      <c r="J101" s="24"/>
      <c r="K101" s="56">
        <f>SUBTOTAL(109,Log_Atkinson145[Cost])</f>
        <v>0</v>
      </c>
    </row>
    <row r="102" spans="1:11" ht="15" customHeight="1">
      <c r="C102" s="48"/>
      <c r="E102" s="49"/>
      <c r="G102" s="49"/>
      <c r="H102" s="50"/>
    </row>
    <row r="103" spans="1:11" ht="15" customHeight="1">
      <c r="C103" s="51"/>
    </row>
    <row r="106" spans="1:11" ht="14.25" customHeight="1"/>
    <row r="107" spans="1:11" ht="24">
      <c r="A107" s="65" t="s">
        <v>14</v>
      </c>
      <c r="B107" s="66"/>
      <c r="C107" s="66"/>
      <c r="D107" s="66"/>
      <c r="E107" s="66"/>
      <c r="F107" s="66"/>
      <c r="G107" s="66"/>
      <c r="H107" s="66"/>
      <c r="I107" s="66"/>
      <c r="J107" s="66"/>
      <c r="K107" s="67"/>
    </row>
    <row r="108" spans="1:11" ht="15" customHeight="1">
      <c r="A108" s="52" t="s">
        <v>1</v>
      </c>
      <c r="B108" s="53" t="s">
        <v>2</v>
      </c>
      <c r="C108" s="53" t="s">
        <v>3</v>
      </c>
      <c r="D108" s="54" t="s">
        <v>4</v>
      </c>
      <c r="E108" s="55" t="s">
        <v>5</v>
      </c>
      <c r="F108" s="52" t="s">
        <v>6</v>
      </c>
      <c r="G108" s="55" t="s">
        <v>7</v>
      </c>
      <c r="H108" s="52" t="s">
        <v>15</v>
      </c>
      <c r="I108" s="52" t="s">
        <v>9</v>
      </c>
      <c r="J108" s="52" t="s">
        <v>10</v>
      </c>
      <c r="K108" s="52" t="s">
        <v>11</v>
      </c>
    </row>
    <row r="109" spans="1:11" ht="15" customHeight="1">
      <c r="A109" s="36" t="s">
        <v>12</v>
      </c>
      <c r="B109" s="39">
        <f>_xlfn.XLOOKUP(Log_Art123[[#This Row],[Machine ]], PriceTable[Machine], PriceTable[$/Unit], "")</f>
        <v>0</v>
      </c>
      <c r="C109" s="25"/>
      <c r="D109" s="38" t="str">
        <f>IF(OR(Log_Art123[[#This Row],[Machine ]]="", Log_Art123[[#This Row],[Unit Amount]]=""), "", IFERROR(MAX(Log_Art123[[#This Row],[Unit Amount]] * Log_Art123[[#This Row],[$/Unit]], 3), ""))</f>
        <v/>
      </c>
      <c r="E109" s="23"/>
      <c r="F109" s="24"/>
      <c r="G109" s="25"/>
      <c r="H109" s="26"/>
      <c r="I109" s="24"/>
      <c r="J109" s="24"/>
      <c r="K109" s="24"/>
    </row>
    <row r="110" spans="1:11" ht="15" customHeight="1">
      <c r="A110" s="36" t="s">
        <v>12</v>
      </c>
      <c r="B110" s="39">
        <f>_xlfn.XLOOKUP(Log_Art123[[#This Row],[Machine ]], PriceTable[Machine], PriceTable[$/Unit], "")</f>
        <v>0</v>
      </c>
      <c r="C110" s="29"/>
      <c r="D110" s="38" t="str">
        <f>IF(OR(Log_Art123[[#This Row],[Machine ]]="", Log_Art123[[#This Row],[Unit Amount]]=""), "", IFERROR(MAX(Log_Art123[[#This Row],[Unit Amount]] * Log_Art123[[#This Row],[$/Unit]], 3), ""))</f>
        <v/>
      </c>
      <c r="E110" s="27"/>
      <c r="F110" s="24"/>
      <c r="G110" s="29"/>
      <c r="H110" s="30"/>
      <c r="I110" s="28"/>
      <c r="J110" s="24"/>
      <c r="K110" s="28"/>
    </row>
    <row r="111" spans="1:11" ht="15" customHeight="1">
      <c r="A111" s="36" t="s">
        <v>12</v>
      </c>
      <c r="B111" s="39">
        <f>_xlfn.XLOOKUP(Log_Art123[[#This Row],[Machine ]], PriceTable[Machine], PriceTable[$/Unit], "")</f>
        <v>0</v>
      </c>
      <c r="C111" s="25"/>
      <c r="D111" s="38" t="str">
        <f>IF(OR(Log_Art123[[#This Row],[Machine ]]="", Log_Art123[[#This Row],[Unit Amount]]=""), "", IFERROR(MAX(Log_Art123[[#This Row],[Unit Amount]] * Log_Art123[[#This Row],[$/Unit]], 3), ""))</f>
        <v/>
      </c>
      <c r="E111" s="23"/>
      <c r="F111" s="24"/>
      <c r="G111" s="25"/>
      <c r="H111" s="26"/>
      <c r="I111" s="24"/>
      <c r="J111" s="24"/>
      <c r="K111" s="24"/>
    </row>
    <row r="112" spans="1:11" ht="15" customHeight="1">
      <c r="A112" s="36" t="s">
        <v>12</v>
      </c>
      <c r="B112" s="39">
        <f>_xlfn.XLOOKUP(Log_Art123[[#This Row],[Machine ]], PriceTable[Machine], PriceTable[$/Unit], "")</f>
        <v>0</v>
      </c>
      <c r="C112" s="29"/>
      <c r="D112" s="38" t="str">
        <f>IF(OR(Log_Art123[[#This Row],[Machine ]]="", Log_Art123[[#This Row],[Unit Amount]]=""), "", IFERROR(MAX(Log_Art123[[#This Row],[Unit Amount]] * Log_Art123[[#This Row],[$/Unit]], 3), ""))</f>
        <v/>
      </c>
      <c r="E112" s="27"/>
      <c r="F112" s="24"/>
      <c r="G112" s="29"/>
      <c r="H112" s="30"/>
      <c r="I112" s="28"/>
      <c r="J112" s="24"/>
      <c r="K112" s="28"/>
    </row>
    <row r="113" spans="1:11" ht="15" customHeight="1">
      <c r="A113" s="36" t="s">
        <v>12</v>
      </c>
      <c r="B113" s="39">
        <f>_xlfn.XLOOKUP(Log_Art123[[#This Row],[Machine ]], PriceTable[Machine], PriceTable[$/Unit], "")</f>
        <v>0</v>
      </c>
      <c r="C113" s="25"/>
      <c r="D113" s="38" t="str">
        <f>IF(OR(Log_Art123[[#This Row],[Machine ]]="", Log_Art123[[#This Row],[Unit Amount]]=""), "", IFERROR(MAX(Log_Art123[[#This Row],[Unit Amount]] * Log_Art123[[#This Row],[$/Unit]], 3), ""))</f>
        <v/>
      </c>
      <c r="E113" s="23"/>
      <c r="F113" s="24"/>
      <c r="G113" s="25"/>
      <c r="H113" s="26"/>
      <c r="I113" s="24"/>
      <c r="J113" s="24"/>
      <c r="K113" s="24"/>
    </row>
    <row r="114" spans="1:11" ht="15" customHeight="1">
      <c r="A114" s="36" t="s">
        <v>12</v>
      </c>
      <c r="B114" s="39">
        <f>_xlfn.XLOOKUP(Log_Art123[[#This Row],[Machine ]], PriceTable[Machine], PriceTable[$/Unit], "")</f>
        <v>0</v>
      </c>
      <c r="C114" s="29"/>
      <c r="D114" s="38" t="str">
        <f>IF(OR(Log_Art123[[#This Row],[Machine ]]="", Log_Art123[[#This Row],[Unit Amount]]=""), "", IFERROR(MAX(Log_Art123[[#This Row],[Unit Amount]] * Log_Art123[[#This Row],[$/Unit]], 3), ""))</f>
        <v/>
      </c>
      <c r="E114" s="27"/>
      <c r="F114" s="24"/>
      <c r="G114" s="29"/>
      <c r="H114" s="30"/>
      <c r="I114" s="28"/>
      <c r="J114" s="24"/>
      <c r="K114" s="28"/>
    </row>
    <row r="115" spans="1:11" ht="15" customHeight="1">
      <c r="A115" s="36" t="s">
        <v>12</v>
      </c>
      <c r="B115" s="39">
        <f>_xlfn.XLOOKUP(Log_Art123[[#This Row],[Machine ]], PriceTable[Machine], PriceTable[$/Unit], "")</f>
        <v>0</v>
      </c>
      <c r="C115" s="25"/>
      <c r="D115" s="38" t="str">
        <f>IF(OR(Log_Art123[[#This Row],[Machine ]]="", Log_Art123[[#This Row],[Unit Amount]]=""), "", IFERROR(MAX(Log_Art123[[#This Row],[Unit Amount]] * Log_Art123[[#This Row],[$/Unit]], 3), ""))</f>
        <v/>
      </c>
      <c r="E115" s="23"/>
      <c r="F115" s="24"/>
      <c r="G115" s="25"/>
      <c r="H115" s="26"/>
      <c r="I115" s="24"/>
      <c r="J115" s="24"/>
      <c r="K115" s="24"/>
    </row>
    <row r="116" spans="1:11" ht="15" customHeight="1">
      <c r="A116" s="36" t="s">
        <v>12</v>
      </c>
      <c r="B116" s="39">
        <f>_xlfn.XLOOKUP(Log_Art123[[#This Row],[Machine ]], PriceTable[Machine], PriceTable[$/Unit], "")</f>
        <v>0</v>
      </c>
      <c r="C116" s="29"/>
      <c r="D116" s="38" t="str">
        <f>IF(OR(Log_Art123[[#This Row],[Machine ]]="", Log_Art123[[#This Row],[Unit Amount]]=""), "", IFERROR(MAX(Log_Art123[[#This Row],[Unit Amount]] * Log_Art123[[#This Row],[$/Unit]], 3), ""))</f>
        <v/>
      </c>
      <c r="E116" s="27"/>
      <c r="F116" s="24"/>
      <c r="G116" s="29"/>
      <c r="H116" s="30"/>
      <c r="I116" s="28"/>
      <c r="J116" s="24"/>
      <c r="K116" s="28"/>
    </row>
    <row r="117" spans="1:11" ht="15" customHeight="1">
      <c r="A117" s="36" t="s">
        <v>12</v>
      </c>
      <c r="B117" s="39">
        <f>_xlfn.XLOOKUP(Log_Art123[[#This Row],[Machine ]], PriceTable[Machine], PriceTable[$/Unit], "")</f>
        <v>0</v>
      </c>
      <c r="C117" s="25"/>
      <c r="D117" s="38" t="str">
        <f>IF(OR(Log_Art123[[#This Row],[Machine ]]="", Log_Art123[[#This Row],[Unit Amount]]=""), "", IFERROR(MAX(Log_Art123[[#This Row],[Unit Amount]] * Log_Art123[[#This Row],[$/Unit]], 3), ""))</f>
        <v/>
      </c>
      <c r="E117" s="23"/>
      <c r="F117" s="24"/>
      <c r="G117" s="25"/>
      <c r="H117" s="26"/>
      <c r="I117" s="24"/>
      <c r="J117" s="24"/>
      <c r="K117" s="24"/>
    </row>
    <row r="118" spans="1:11" ht="15" customHeight="1">
      <c r="A118" s="36" t="s">
        <v>12</v>
      </c>
      <c r="B118" s="39">
        <f>_xlfn.XLOOKUP(Log_Art123[[#This Row],[Machine ]], PriceTable[Machine], PriceTable[$/Unit], "")</f>
        <v>0</v>
      </c>
      <c r="C118" s="29"/>
      <c r="D118" s="38" t="str">
        <f>IF(OR(Log_Art123[[#This Row],[Machine ]]="", Log_Art123[[#This Row],[Unit Amount]]=""), "", IFERROR(MAX(Log_Art123[[#This Row],[Unit Amount]] * Log_Art123[[#This Row],[$/Unit]], 3), ""))</f>
        <v/>
      </c>
      <c r="E118" s="27"/>
      <c r="F118" s="24"/>
      <c r="G118" s="29"/>
      <c r="H118" s="30"/>
      <c r="I118" s="28"/>
      <c r="J118" s="24"/>
      <c r="K118" s="28"/>
    </row>
    <row r="119" spans="1:11" ht="15" customHeight="1">
      <c r="A119" s="36" t="s">
        <v>12</v>
      </c>
      <c r="B119" s="39">
        <f>_xlfn.XLOOKUP(Log_Art123[[#This Row],[Machine ]], PriceTable[Machine], PriceTable[$/Unit], "")</f>
        <v>0</v>
      </c>
      <c r="C119" s="25"/>
      <c r="D119" s="38" t="str">
        <f>IF(OR(Log_Art123[[#This Row],[Machine ]]="", Log_Art123[[#This Row],[Unit Amount]]=""), "", IFERROR(MAX(Log_Art123[[#This Row],[Unit Amount]] * Log_Art123[[#This Row],[$/Unit]], 3), ""))</f>
        <v/>
      </c>
      <c r="E119" s="23"/>
      <c r="F119" s="24"/>
      <c r="G119" s="25"/>
      <c r="H119" s="26"/>
      <c r="I119" s="24"/>
      <c r="J119" s="24"/>
      <c r="K119" s="24"/>
    </row>
    <row r="120" spans="1:11" ht="15" customHeight="1">
      <c r="A120" s="36" t="s">
        <v>12</v>
      </c>
      <c r="B120" s="39">
        <f>_xlfn.XLOOKUP(Log_Art123[[#This Row],[Machine ]], PriceTable[Machine], PriceTable[$/Unit], "")</f>
        <v>0</v>
      </c>
      <c r="C120" s="29"/>
      <c r="D120" s="38" t="str">
        <f>IF(OR(Log_Art123[[#This Row],[Machine ]]="", Log_Art123[[#This Row],[Unit Amount]]=""), "", IFERROR(MAX(Log_Art123[[#This Row],[Unit Amount]] * Log_Art123[[#This Row],[$/Unit]], 3), ""))</f>
        <v/>
      </c>
      <c r="E120" s="27"/>
      <c r="F120" s="24"/>
      <c r="G120" s="29"/>
      <c r="H120" s="30"/>
      <c r="I120" s="28"/>
      <c r="J120" s="24"/>
      <c r="K120" s="28"/>
    </row>
    <row r="121" spans="1:11" ht="15" customHeight="1">
      <c r="A121" s="36" t="s">
        <v>12</v>
      </c>
      <c r="B121" s="39">
        <f>_xlfn.XLOOKUP(Log_Art123[[#This Row],[Machine ]], PriceTable[Machine], PriceTable[$/Unit], "")</f>
        <v>0</v>
      </c>
      <c r="C121" s="25"/>
      <c r="D121" s="38" t="str">
        <f>IF(OR(Log_Art123[[#This Row],[Machine ]]="", Log_Art123[[#This Row],[Unit Amount]]=""), "", IFERROR(MAX(Log_Art123[[#This Row],[Unit Amount]] * Log_Art123[[#This Row],[$/Unit]], 3), ""))</f>
        <v/>
      </c>
      <c r="E121" s="23"/>
      <c r="F121" s="24"/>
      <c r="G121" s="25"/>
      <c r="H121" s="26"/>
      <c r="I121" s="24"/>
      <c r="J121" s="24"/>
      <c r="K121" s="24"/>
    </row>
    <row r="122" spans="1:11" ht="15" customHeight="1">
      <c r="A122" s="36" t="s">
        <v>12</v>
      </c>
      <c r="B122" s="39">
        <f>_xlfn.XLOOKUP(Log_Art123[[#This Row],[Machine ]], PriceTable[Machine], PriceTable[$/Unit], "")</f>
        <v>0</v>
      </c>
      <c r="C122" s="29"/>
      <c r="D122" s="38" t="str">
        <f>IF(OR(Log_Art123[[#This Row],[Machine ]]="", Log_Art123[[#This Row],[Unit Amount]]=""), "", IFERROR(MAX(Log_Art123[[#This Row],[Unit Amount]] * Log_Art123[[#This Row],[$/Unit]], 3), ""))</f>
        <v/>
      </c>
      <c r="E122" s="27"/>
      <c r="F122" s="24"/>
      <c r="G122" s="29"/>
      <c r="H122" s="30"/>
      <c r="I122" s="28"/>
      <c r="J122" s="24"/>
      <c r="K122" s="28"/>
    </row>
    <row r="123" spans="1:11" ht="15" customHeight="1">
      <c r="A123" s="36" t="s">
        <v>12</v>
      </c>
      <c r="B123" s="39">
        <f>_xlfn.XLOOKUP(Log_Art123[[#This Row],[Machine ]], PriceTable[Machine], PriceTable[$/Unit], "")</f>
        <v>0</v>
      </c>
      <c r="C123" s="25"/>
      <c r="D123" s="38" t="str">
        <f>IF(OR(Log_Art123[[#This Row],[Machine ]]="", Log_Art123[[#This Row],[Unit Amount]]=""), "", IFERROR(MAX(Log_Art123[[#This Row],[Unit Amount]] * Log_Art123[[#This Row],[$/Unit]], 3), ""))</f>
        <v/>
      </c>
      <c r="E123" s="23"/>
      <c r="F123" s="24"/>
      <c r="G123" s="25"/>
      <c r="H123" s="26"/>
      <c r="I123" s="24"/>
      <c r="J123" s="24"/>
      <c r="K123" s="24"/>
    </row>
    <row r="124" spans="1:11" ht="15" customHeight="1">
      <c r="A124" s="36" t="s">
        <v>12</v>
      </c>
      <c r="B124" s="39">
        <f>_xlfn.XLOOKUP(Log_Art123[[#This Row],[Machine ]], PriceTable[Machine], PriceTable[$/Unit], "")</f>
        <v>0</v>
      </c>
      <c r="C124" s="29"/>
      <c r="D124" s="38" t="str">
        <f>IF(OR(Log_Art123[[#This Row],[Machine ]]="", Log_Art123[[#This Row],[Unit Amount]]=""), "", IFERROR(MAX(Log_Art123[[#This Row],[Unit Amount]] * Log_Art123[[#This Row],[$/Unit]], 3), ""))</f>
        <v/>
      </c>
      <c r="E124" s="27"/>
      <c r="F124" s="24"/>
      <c r="G124" s="29"/>
      <c r="H124" s="30"/>
      <c r="I124" s="28"/>
      <c r="J124" s="24"/>
      <c r="K124" s="28"/>
    </row>
    <row r="125" spans="1:11" ht="15" customHeight="1">
      <c r="A125" s="36" t="s">
        <v>12</v>
      </c>
      <c r="B125" s="39">
        <f>_xlfn.XLOOKUP(Log_Art123[[#This Row],[Machine ]], PriceTable[Machine], PriceTable[$/Unit], "")</f>
        <v>0</v>
      </c>
      <c r="C125" s="25"/>
      <c r="D125" s="38" t="str">
        <f>IF(OR(Log_Art123[[#This Row],[Machine ]]="", Log_Art123[[#This Row],[Unit Amount]]=""), "", IFERROR(MAX(Log_Art123[[#This Row],[Unit Amount]] * Log_Art123[[#This Row],[$/Unit]], 3), ""))</f>
        <v/>
      </c>
      <c r="E125" s="23"/>
      <c r="F125" s="24"/>
      <c r="G125" s="25"/>
      <c r="H125" s="26"/>
      <c r="I125" s="24"/>
      <c r="J125" s="24"/>
      <c r="K125" s="24"/>
    </row>
    <row r="126" spans="1:11" ht="15" customHeight="1">
      <c r="A126" s="36" t="s">
        <v>12</v>
      </c>
      <c r="B126" s="39">
        <f>_xlfn.XLOOKUP(Log_Art123[[#This Row],[Machine ]], PriceTable[Machine], PriceTable[$/Unit], "")</f>
        <v>0</v>
      </c>
      <c r="C126" s="29"/>
      <c r="D126" s="38" t="str">
        <f>IF(OR(Log_Art123[[#This Row],[Machine ]]="", Log_Art123[[#This Row],[Unit Amount]]=""), "", IFERROR(MAX(Log_Art123[[#This Row],[Unit Amount]] * Log_Art123[[#This Row],[$/Unit]], 3), ""))</f>
        <v/>
      </c>
      <c r="E126" s="27"/>
      <c r="F126" s="24"/>
      <c r="G126" s="29"/>
      <c r="H126" s="30"/>
      <c r="I126" s="28"/>
      <c r="J126" s="24"/>
      <c r="K126" s="28"/>
    </row>
    <row r="127" spans="1:11" ht="15" customHeight="1">
      <c r="A127" s="36" t="s">
        <v>12</v>
      </c>
      <c r="B127" s="39">
        <f>_xlfn.XLOOKUP(Log_Art123[[#This Row],[Machine ]], PriceTable[Machine], PriceTable[$/Unit], "")</f>
        <v>0</v>
      </c>
      <c r="C127" s="25"/>
      <c r="D127" s="38" t="str">
        <f>IF(OR(Log_Art123[[#This Row],[Machine ]]="", Log_Art123[[#This Row],[Unit Amount]]=""), "", IFERROR(MAX(Log_Art123[[#This Row],[Unit Amount]] * Log_Art123[[#This Row],[$/Unit]], 3), ""))</f>
        <v/>
      </c>
      <c r="E127" s="23"/>
      <c r="F127" s="24"/>
      <c r="G127" s="25"/>
      <c r="H127" s="26"/>
      <c r="I127" s="24"/>
      <c r="J127" s="24"/>
      <c r="K127" s="24"/>
    </row>
    <row r="128" spans="1:11" ht="15" customHeight="1">
      <c r="A128" s="36" t="s">
        <v>12</v>
      </c>
      <c r="B128" s="39">
        <f>_xlfn.XLOOKUP(Log_Art123[[#This Row],[Machine ]], PriceTable[Machine], PriceTable[$/Unit], "")</f>
        <v>0</v>
      </c>
      <c r="C128" s="29"/>
      <c r="D128" s="38" t="str">
        <f>IF(OR(Log_Art123[[#This Row],[Machine ]]="", Log_Art123[[#This Row],[Unit Amount]]=""), "", IFERROR(MAX(Log_Art123[[#This Row],[Unit Amount]] * Log_Art123[[#This Row],[$/Unit]], 3), ""))</f>
        <v/>
      </c>
      <c r="E128" s="27"/>
      <c r="F128" s="24"/>
      <c r="G128" s="29"/>
      <c r="H128" s="30"/>
      <c r="I128" s="28"/>
      <c r="J128" s="24"/>
      <c r="K128" s="28"/>
    </row>
    <row r="129" spans="1:11" ht="15" customHeight="1">
      <c r="A129" s="36" t="s">
        <v>12</v>
      </c>
      <c r="B129" s="39">
        <f>_xlfn.XLOOKUP(Log_Art123[[#This Row],[Machine ]], PriceTable[Machine], PriceTable[$/Unit], "")</f>
        <v>0</v>
      </c>
      <c r="C129" s="25"/>
      <c r="D129" s="38" t="str">
        <f>IF(OR(Log_Art123[[#This Row],[Machine ]]="", Log_Art123[[#This Row],[Unit Amount]]=""), "", IFERROR(MAX(Log_Art123[[#This Row],[Unit Amount]] * Log_Art123[[#This Row],[$/Unit]], 3), ""))</f>
        <v/>
      </c>
      <c r="E129" s="23"/>
      <c r="F129" s="24"/>
      <c r="G129" s="25"/>
      <c r="H129" s="26"/>
      <c r="I129" s="24"/>
      <c r="J129" s="24"/>
      <c r="K129" s="24"/>
    </row>
    <row r="130" spans="1:11" ht="15" customHeight="1">
      <c r="A130" s="36" t="s">
        <v>12</v>
      </c>
      <c r="B130" s="39">
        <f>_xlfn.XLOOKUP(Log_Art123[[#This Row],[Machine ]], PriceTable[Machine], PriceTable[$/Unit], "")</f>
        <v>0</v>
      </c>
      <c r="C130" s="29"/>
      <c r="D130" s="38" t="str">
        <f>IF(OR(Log_Art123[[#This Row],[Machine ]]="", Log_Art123[[#This Row],[Unit Amount]]=""), "", IFERROR(MAX(Log_Art123[[#This Row],[Unit Amount]] * Log_Art123[[#This Row],[$/Unit]], 3), ""))</f>
        <v/>
      </c>
      <c r="E130" s="27"/>
      <c r="F130" s="24"/>
      <c r="G130" s="29"/>
      <c r="H130" s="30"/>
      <c r="I130" s="28"/>
      <c r="J130" s="24"/>
      <c r="K130" s="28"/>
    </row>
    <row r="131" spans="1:11" ht="15" customHeight="1">
      <c r="A131" s="36" t="s">
        <v>12</v>
      </c>
      <c r="B131" s="39">
        <f>_xlfn.XLOOKUP(Log_Art123[[#This Row],[Machine ]], PriceTable[Machine], PriceTable[$/Unit], "")</f>
        <v>0</v>
      </c>
      <c r="C131" s="25"/>
      <c r="D131" s="38" t="str">
        <f>IF(OR(Log_Art123[[#This Row],[Machine ]]="", Log_Art123[[#This Row],[Unit Amount]]=""), "", IFERROR(MAX(Log_Art123[[#This Row],[Unit Amount]] * Log_Art123[[#This Row],[$/Unit]], 3), ""))</f>
        <v/>
      </c>
      <c r="E131" s="23"/>
      <c r="F131" s="24"/>
      <c r="G131" s="25"/>
      <c r="H131" s="26"/>
      <c r="I131" s="24"/>
      <c r="J131" s="24"/>
      <c r="K131" s="24"/>
    </row>
    <row r="132" spans="1:11" ht="15" customHeight="1">
      <c r="A132" s="36" t="s">
        <v>13</v>
      </c>
      <c r="B132" s="40"/>
      <c r="C132" s="25"/>
      <c r="D132" s="41"/>
      <c r="E132" s="23"/>
      <c r="F132" s="24"/>
      <c r="G132" s="25"/>
      <c r="H132" s="25"/>
      <c r="I132" s="24"/>
      <c r="J132" s="24"/>
      <c r="K132" s="56">
        <f>SUBTOTAL(109,Log_Art123[Cost])</f>
        <v>0</v>
      </c>
    </row>
  </sheetData>
  <sheetProtection sheet="1" objects="1" scenarios="1"/>
  <protectedRanges>
    <protectedRange sqref="A3:K100" name="Range1_48_48_48_48_48_1"/>
    <protectedRange sqref="B131:E131 C128:C130 B109:B130 E128:E130 D109:D130 K128:K131 G128:I131" name="Range1_48_48_48_48_48_1_71_3"/>
    <protectedRange sqref="C109:C127 E109:K109 K110:K127 J110:J131 E110:E127 G110:I127 F110:F131" name="Range1_48_48_48_48_48_1_1"/>
    <protectedRange sqref="A109:A131" name="Range2_23_23_23_23_23_23_23_23_23_23_23_23_20_19"/>
  </protectedRanges>
  <mergeCells count="2">
    <mergeCell ref="A1:K1"/>
    <mergeCell ref="A107:K107"/>
  </mergeCells>
  <phoneticPr fontId="3" type="noConversion"/>
  <conditionalFormatting sqref="A1 H109:K131 L1:XFD1048576">
    <cfRule type="containsText" dxfId="79" priority="28" operator="containsText" text="Select Machine">
      <formula>NOT(ISERROR(SEARCH("Select Machine",A1)))</formula>
    </cfRule>
  </conditionalFormatting>
  <conditionalFormatting sqref="A3:A100 C3:C100 E3:F100">
    <cfRule type="containsText" dxfId="78" priority="14" operator="containsText" text="Select Machine">
      <formula>NOT(ISERROR(SEARCH("Select Machine",A3)))</formula>
    </cfRule>
  </conditionalFormatting>
  <conditionalFormatting sqref="A3:A100 G3:G100">
    <cfRule type="cellIs" dxfId="77" priority="15" operator="equal">
      <formula>"Select Machine"</formula>
    </cfRule>
  </conditionalFormatting>
  <conditionalFormatting sqref="A109:A131">
    <cfRule type="containsText" dxfId="76" priority="7" operator="containsText" text="Select Machine">
      <formula>NOT(ISERROR(SEARCH("Select Machine",A109)))</formula>
    </cfRule>
    <cfRule type="cellIs" dxfId="75" priority="8" operator="equal">
      <formula>"Select Machine"</formula>
    </cfRule>
  </conditionalFormatting>
  <conditionalFormatting sqref="C109:C131 E109:F131">
    <cfRule type="containsText" dxfId="74" priority="2" operator="containsText" text="Select Machine">
      <formula>NOT(ISERROR(SEARCH("Select Machine",C109)))</formula>
    </cfRule>
  </conditionalFormatting>
  <conditionalFormatting sqref="G3:G100">
    <cfRule type="containsText" dxfId="73" priority="16" operator="containsText" text="Select Machine">
      <formula>NOT(ISERROR(SEARCH("Select Machine",G3)))</formula>
    </cfRule>
  </conditionalFormatting>
  <conditionalFormatting sqref="G109:G131">
    <cfRule type="cellIs" dxfId="72" priority="3" operator="equal">
      <formula>"Select Machine"</formula>
    </cfRule>
    <cfRule type="containsText" dxfId="71" priority="4" operator="containsText" text="Select Machine">
      <formula>NOT(ISERROR(SEARCH("Select Machine",G109)))</formula>
    </cfRule>
  </conditionalFormatting>
  <conditionalFormatting sqref="H3:K100">
    <cfRule type="containsText" dxfId="70" priority="13" operator="containsText" text="Select Machine">
      <formula>NOT(ISERROR(SEARCH("Select Machine",H3)))</formula>
    </cfRule>
  </conditionalFormatting>
  <conditionalFormatting sqref="K133:K134 A134:J134 A135:K1048576">
    <cfRule type="containsText" dxfId="69" priority="24" operator="containsText" text="Select Machine">
      <formula>NOT(ISERROR(SEARCH("Select Machine",A133)))</formula>
    </cfRule>
  </conditionalFormatting>
  <conditionalFormatting sqref="A2:K2 A102:K106 A107 A108:K108">
    <cfRule type="containsText" dxfId="68" priority="26" operator="containsText" text="Select Machine">
      <formula>NOT(ISERROR(SEARCH("Select Machine",A2)))</formula>
    </cfRule>
  </conditionalFormatting>
  <conditionalFormatting sqref="L58:XFD58">
    <cfRule type="cellIs" dxfId="67" priority="29" operator="equal">
      <formula>"Select Machine"</formula>
    </cfRule>
  </conditionalFormatting>
  <dataValidations count="10">
    <dataValidation type="whole" allowBlank="1" showInputMessage="1" showErrorMessage="1" sqref="I134 I109:I131 I102 I3:I100" xr:uid="{2C409558-0476-4219-982E-0FC9C5CC16C1}">
      <formula1>1</formula1>
      <formula2>99999999999</formula2>
    </dataValidation>
    <dataValidation type="list" allowBlank="1" showInputMessage="1" showErrorMessage="1" sqref="K102 K109:K131 K3:K100" xr:uid="{0FAF76E5-3865-494E-AD1A-A26B9D966D7E}">
      <formula1>"Open,Closed"</formula1>
    </dataValidation>
    <dataValidation type="list" allowBlank="1" showInputMessage="1" showErrorMessage="1" sqref="A108" xr:uid="{B7B21E49-A5E7-419E-94B6-C3FC7BA99D85}">
      <formula1>"Prusa,Raise3D Pro 2 Plus,Ultimaker S5,Ultimaker 2+,Markforged Onyx,Form 2,Form 2 Specialty"</formula1>
    </dataValidation>
    <dataValidation type="list" allowBlank="1" showInputMessage="1" showErrorMessage="1" sqref="A102 A134" xr:uid="{2FC06F2A-C40F-4621-8601-BF8A9F719419}">
      <formula1>"Prusa,Ultimaker S5,Ultimaker 2+,Raise3D Pro 2 Plus,Markforged Onyx,Form 2, Form 2 Specialty,Plasma,Forest CNC"</formula1>
    </dataValidation>
    <dataValidation type="list" allowBlank="1" showInputMessage="1" showErrorMessage="1" sqref="J102" xr:uid="{26C5BD67-F651-4E79-A220-32155692E96A}">
      <formula1>"Conrad,Spencer,Kiran,Jack Wayne,Morgan"</formula1>
    </dataValidation>
    <dataValidation allowBlank="1" showInputMessage="1" showErrorMessage="1" sqref="F134:F1048576 F1:F2 F102:F106 F108" xr:uid="{50715BF0-FB3B-4950-AAAB-FB7BFFA64B5F}"/>
    <dataValidation type="list" allowBlank="1" showInputMessage="1" showErrorMessage="1" sqref="K110" xr:uid="{75394EC4-D1D3-460C-95B3-80880AD90A4B}">
      <formula1>"Conrad,Caroline,Calcea,Cooper,Quinton,Kiran,Lacie,Mahi,Rohan,Jacob,Madison"</formula1>
    </dataValidation>
    <dataValidation type="list" allowBlank="1" showInputMessage="1" showErrorMessage="1" sqref="A109:A131 A2:A100" xr:uid="{1AF0E4E0-5663-4A74-BB99-D59A434F1F71}">
      <formula1>MachineList</formula1>
    </dataValidation>
    <dataValidation type="list" allowBlank="1" showInputMessage="1" showErrorMessage="1" sqref="J109:J131 J3:J100" xr:uid="{CFCC60B0-C2B9-4BD6-B535-12799B85CA52}">
      <formula1>Staff</formula1>
    </dataValidation>
    <dataValidation type="custom" allowBlank="1" showInputMessage="1" showErrorMessage="1" sqref="F109:F131 F3:F100" xr:uid="{F7EA5B34-E108-454F-ACAB-C27A81728866}">
      <formula1>1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CA26-1411-44B5-B26D-3BA6BF667ABA}">
  <dimension ref="A1:CE18"/>
  <sheetViews>
    <sheetView zoomScaleNormal="100" workbookViewId="0">
      <selection activeCell="E22" sqref="E22"/>
    </sheetView>
  </sheetViews>
  <sheetFormatPr defaultColWidth="8.7109375" defaultRowHeight="15"/>
  <cols>
    <col min="1" max="1" width="23.85546875" style="3" bestFit="1" customWidth="1"/>
    <col min="2" max="2" width="11.7109375" style="5" customWidth="1"/>
    <col min="3" max="4" width="8.7109375" style="1"/>
    <col min="5" max="5" width="23.28515625" style="4" bestFit="1" customWidth="1"/>
    <col min="6" max="6" width="8.28515625" style="1" bestFit="1" customWidth="1"/>
    <col min="7" max="16384" width="8.7109375" style="1"/>
  </cols>
  <sheetData>
    <row r="1" spans="1:83" s="2" customFormat="1" ht="16.5">
      <c r="A1" s="15" t="s">
        <v>285</v>
      </c>
      <c r="B1" s="18" t="s">
        <v>2</v>
      </c>
      <c r="C1" s="12"/>
      <c r="D1" s="12"/>
      <c r="E1" s="15" t="s">
        <v>286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19" t="s">
        <v>12</v>
      </c>
      <c r="B2" s="20">
        <v>0</v>
      </c>
      <c r="C2" s="12"/>
      <c r="D2" s="12"/>
      <c r="E2" s="16" t="s">
        <v>35</v>
      </c>
    </row>
    <row r="3" spans="1:83">
      <c r="A3" s="21" t="s">
        <v>16</v>
      </c>
      <c r="B3" s="22">
        <v>0.1</v>
      </c>
      <c r="C3" s="12"/>
      <c r="D3" s="12"/>
      <c r="E3" s="17" t="s">
        <v>168</v>
      </c>
    </row>
    <row r="4" spans="1:83">
      <c r="A4" s="19" t="s">
        <v>152</v>
      </c>
      <c r="B4" s="20">
        <v>0.1</v>
      </c>
      <c r="C4" s="12"/>
      <c r="D4" s="12"/>
      <c r="E4" s="16" t="s">
        <v>174</v>
      </c>
    </row>
    <row r="5" spans="1:83">
      <c r="A5" s="21" t="s">
        <v>287</v>
      </c>
      <c r="B5" s="22">
        <v>0.1</v>
      </c>
      <c r="C5" s="12"/>
      <c r="D5" s="12"/>
      <c r="E5" s="17" t="s">
        <v>30</v>
      </c>
    </row>
    <row r="6" spans="1:83">
      <c r="A6" s="19" t="s">
        <v>288</v>
      </c>
      <c r="B6" s="20">
        <v>0.15</v>
      </c>
      <c r="C6" s="12"/>
      <c r="D6" s="12"/>
      <c r="E6" s="17" t="s">
        <v>67</v>
      </c>
    </row>
    <row r="7" spans="1:83">
      <c r="A7" s="21" t="s">
        <v>155</v>
      </c>
      <c r="B7" s="22">
        <v>0.3</v>
      </c>
      <c r="C7" s="12"/>
      <c r="D7" s="12"/>
      <c r="E7" s="17" t="s">
        <v>32</v>
      </c>
    </row>
    <row r="8" spans="1:83">
      <c r="A8" s="19" t="s">
        <v>289</v>
      </c>
      <c r="B8" s="20">
        <v>0.25</v>
      </c>
      <c r="C8" s="12"/>
      <c r="D8" s="12"/>
      <c r="E8" s="17" t="s">
        <v>27</v>
      </c>
    </row>
    <row r="9" spans="1:83">
      <c r="A9" s="21" t="s">
        <v>290</v>
      </c>
      <c r="B9" s="22">
        <v>35</v>
      </c>
      <c r="C9" s="12"/>
      <c r="D9" s="12"/>
      <c r="E9" s="17" t="s">
        <v>40</v>
      </c>
    </row>
    <row r="10" spans="1:83">
      <c r="A10" s="19" t="s">
        <v>87</v>
      </c>
      <c r="B10" s="20">
        <v>20</v>
      </c>
      <c r="C10" s="12"/>
      <c r="D10" s="12"/>
      <c r="E10" s="17" t="s">
        <v>23</v>
      </c>
    </row>
    <row r="11" spans="1:83">
      <c r="A11" s="21" t="s">
        <v>291</v>
      </c>
      <c r="B11" s="22">
        <v>1</v>
      </c>
      <c r="C11" s="12"/>
      <c r="D11" s="12"/>
      <c r="E11" s="17" t="s">
        <v>47</v>
      </c>
    </row>
    <row r="12" spans="1:83">
      <c r="A12" s="13"/>
      <c r="B12" s="14"/>
      <c r="C12" s="12"/>
      <c r="D12" s="12"/>
      <c r="E12" s="17" t="s">
        <v>49</v>
      </c>
    </row>
    <row r="13" spans="1:83">
      <c r="E13" s="17" t="s">
        <v>37</v>
      </c>
    </row>
    <row r="14" spans="1:83">
      <c r="E14" s="17" t="s">
        <v>45</v>
      </c>
    </row>
    <row r="15" spans="1:83">
      <c r="E15" s="17" t="s">
        <v>156</v>
      </c>
    </row>
    <row r="16" spans="1:83">
      <c r="E16" s="17" t="s">
        <v>164</v>
      </c>
    </row>
    <row r="17" spans="5:5">
      <c r="E17" s="17" t="s">
        <v>181</v>
      </c>
    </row>
    <row r="18" spans="5:5">
      <c r="E18" s="17"/>
    </row>
  </sheetData>
  <sheetProtection sheet="1" objects="1" scenarios="1"/>
  <conditionalFormatting sqref="A1">
    <cfRule type="cellIs" dxfId="14" priority="8" operator="equal">
      <formula>"Select Machine"</formula>
    </cfRule>
  </conditionalFormatting>
  <conditionalFormatting sqref="A1:B1 CF1:XFD1">
    <cfRule type="containsText" dxfId="13" priority="7" operator="containsText" text="Select Machine">
      <formula>NOT(ISERROR(SEARCH("Select Machine",A1)))</formula>
    </cfRule>
  </conditionalFormatting>
  <conditionalFormatting sqref="E1">
    <cfRule type="containsText" dxfId="12" priority="1" operator="containsText" text="Select Machine">
      <formula>NOT(ISERROR(SEARCH("Select Machine",E1)))</formula>
    </cfRule>
    <cfRule type="cellIs" dxfId="11" priority="2" operator="equal">
      <formula>"Select Machine"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DBC76F09781468709A59A99364416" ma:contentTypeVersion="12" ma:contentTypeDescription="Create a new document." ma:contentTypeScope="" ma:versionID="9c463687cfa4b974d9ac1706797bf0e2">
  <xsd:schema xmlns:xsd="http://www.w3.org/2001/XMLSchema" xmlns:xs="http://www.w3.org/2001/XMLSchema" xmlns:p="http://schemas.microsoft.com/office/2006/metadata/properties" xmlns:ns2="a21f6412-5939-4dd5-82ef-0249703202a0" xmlns:ns3="f53761f2-e473-4771-a546-4d336cace92f" targetNamespace="http://schemas.microsoft.com/office/2006/metadata/properties" ma:root="true" ma:fieldsID="b62bd238285d8767513335bf52b9bc98" ns2:_="" ns3:_="">
    <xsd:import namespace="a21f6412-5939-4dd5-82ef-0249703202a0"/>
    <xsd:import namespace="f53761f2-e473-4771-a546-4d336cace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6412-5939-4dd5-82ef-024970320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f5f06a-e980-4152-9b94-92a1b6e5e2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761f2-e473-4771-a546-4d336cace9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6a2b78-6501-4a22-a270-12a38c45b2d6}" ma:internalName="TaxCatchAll" ma:showField="CatchAllData" ma:web="f53761f2-e473-4771-a546-4d336cace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1f6412-5939-4dd5-82ef-0249703202a0">
      <Terms xmlns="http://schemas.microsoft.com/office/infopath/2007/PartnerControls"/>
    </lcf76f155ced4ddcb4097134ff3c332f>
    <TaxCatchAll xmlns="f53761f2-e473-4771-a546-4d336cace92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3403ED-3117-4F0B-89DD-00F7CBF1788E}"/>
</file>

<file path=customXml/itemProps2.xml><?xml version="1.0" encoding="utf-8"?>
<ds:datastoreItem xmlns:ds="http://schemas.openxmlformats.org/officeDocument/2006/customXml" ds:itemID="{CF884006-7D47-4C36-9C32-02E87BC113D1}"/>
</file>

<file path=customXml/itemProps3.xml><?xml version="1.0" encoding="utf-8"?>
<ds:datastoreItem xmlns:ds="http://schemas.openxmlformats.org/officeDocument/2006/customXml" ds:itemID="{1891523B-8470-49D1-8E60-5994E99B73F2}"/>
</file>

<file path=customXml/itemProps4.xml><?xml version="1.0" encoding="utf-8"?>
<ds:datastoreItem xmlns:ds="http://schemas.openxmlformats.org/officeDocument/2006/customXml" ds:itemID="{6956AACE-CD37-42C5-A698-A995460F2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Conrad T Freeman</dc:creator>
  <cp:keywords/>
  <dc:description/>
  <cp:lastModifiedBy>College of Art and Design Fabrication Lab</cp:lastModifiedBy>
  <cp:revision/>
  <dcterms:created xsi:type="dcterms:W3CDTF">2022-12-01T15:45:10Z</dcterms:created>
  <dcterms:modified xsi:type="dcterms:W3CDTF">2026-03-20T15:37:38Z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0x0101000E3DBC76F09781468709A59A99364416</vt:lpwstr>
  </property>
  <property fmtid="{D5CDD505-2E9C-101B-9397-08002B2CF9AE}" pid="3" name="MediaServiceImageTags">
    <vt:lpwstr/>
  </property>
</Properties>
</file>